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ÑO" sheetId="1" state="visible" r:id="rId3"/>
    <sheet name="CALCULO" sheetId="2" state="visible" r:id="rId4"/>
    <sheet name="CATALOGOS" sheetId="3" state="visible" r:id="rId5"/>
    <sheet name="DIBUJO" sheetId="4" state="visible" r:id="rId6"/>
  </sheets>
  <definedNames>
    <definedName function="false" hidden="false" localSheetId="0" name="_xlnm.Print_Area" vbProcedure="false">DISEÑO!$A$1:$T$62</definedName>
    <definedName function="false" hidden="false" name="a_Ab" vbProcedure="false">CALCULO!$D$32</definedName>
    <definedName function="false" hidden="false" name="a_db" vbProcedure="false">CALCULO!$D$31</definedName>
    <definedName function="false" hidden="false" name="a_dbi" vbProcedure="false">CALCULO!$D$30</definedName>
    <definedName function="false" hidden="false" name="a_dh" vbProcedure="false">CALCULO!$D$33</definedName>
    <definedName function="false" hidden="false" name="a_dn" vbProcedure="false">CALCULO!$D$34</definedName>
    <definedName function="false" hidden="false" name="a_emin" vbProcedure="false">CALCULO!$D$35</definedName>
    <definedName function="false" hidden="false" name="a_Fnv" vbProcedure="false">CALCULO!$D$36</definedName>
    <definedName function="false" hidden="false" name="b_A" vbProcedure="false">CALCULO!$D$15</definedName>
    <definedName function="false" hidden="false" name="b_bf" vbProcedure="false">CALCULO!$D$8</definedName>
    <definedName function="false" hidden="false" name="b_d" vbProcedure="false">CALCULO!$D$7</definedName>
    <definedName function="false" hidden="false" name="b_Le" vbProcedure="false">CALCULO!$D$29</definedName>
    <definedName function="false" hidden="false" name="b_tf" vbProcedure="false">CALCULO!$D$10</definedName>
    <definedName function="false" hidden="false" name="b_tw" vbProcedure="false">CALCULO!$D$9</definedName>
    <definedName function="false" hidden="false" name="b_w" vbProcedure="false">CALCULO!$D$16</definedName>
    <definedName function="false" hidden="false" name="b_Zx" vbProcedure="false">CALCULO!$D$17</definedName>
    <definedName function="false" hidden="false" name="co_acero" vbProcedure="false">DISEÑO!$C$28</definedName>
    <definedName function="false" hidden="false" name="co_bf_mm" vbProcedure="false">DISEÑO!$C$25</definedName>
    <definedName function="false" hidden="false" name="co_dtop" vbProcedure="false">DISEÑO!$C$32</definedName>
    <definedName function="false" hidden="false" name="co_d_mm" vbProcedure="false">DISEÑO!$C$24</definedName>
    <definedName function="false" hidden="false" name="co_Fu" vbProcedure="false">DISEÑO!$E$29</definedName>
    <definedName function="false" hidden="false" name="co_Fy" vbProcedure="false">DISEÑO!$C$29</definedName>
    <definedName function="false" hidden="false" name="co_kw" vbProcedure="false">DISEÑO!$C$31</definedName>
    <definedName function="false" hidden="false" name="co_perfil" vbProcedure="false">DISEÑO!$C$23</definedName>
    <definedName function="false" hidden="false" name="co_Rt" vbProcedure="false">DISEÑO!$E$30</definedName>
    <definedName function="false" hidden="false" name="co_Ry" vbProcedure="false">DISEÑO!$C$30</definedName>
    <definedName function="false" hidden="false" name="co_tf_mm" vbProcedure="false">DISEÑO!$C$27</definedName>
    <definedName function="false" hidden="false" name="co_tw_mm" vbProcedure="false">DISEÑO!$C$26</definedName>
    <definedName function="false" hidden="false" name="cp_b" vbProcedure="false">DISEÑO!$C$37</definedName>
    <definedName function="false" hidden="false" name="cp_t" vbProcedure="false">DISEÑO!$C$36</definedName>
    <definedName function="false" hidden="false" name="cp_usar" vbProcedure="false">DISEÑO!$C$35</definedName>
    <definedName function="false" hidden="false" name="c_A" vbProcedure="false">CALCULO!$D$18</definedName>
    <definedName function="false" hidden="false" name="c_bf" vbProcedure="false">CALCULO!$D$12</definedName>
    <definedName function="false" hidden="false" name="c_d" vbProcedure="false">CALCULO!$D$11</definedName>
    <definedName function="false" hidden="false" name="c_k" vbProcedure="false">CALCULO!$D$20</definedName>
    <definedName function="false" hidden="false" name="c_tf" vbProcedure="false">CALCULO!$D$14</definedName>
    <definedName function="false" hidden="false" name="c_tw" vbProcedure="false">CALCULO!$D$13</definedName>
    <definedName function="false" hidden="false" name="c_Zx" vbProcedure="false">CALCULO!$D$19</definedName>
    <definedName function="false" hidden="false" name="dHc" vbProcedure="false">DIBUJO!$B$7</definedName>
    <definedName function="false" hidden="false" name="dLb" vbProcedure="false">DIBUJO!$B$3</definedName>
    <definedName function="false" hidden="false" name="dos_lados" vbProcedure="false">DISEÑO!$C$33</definedName>
    <definedName function="false" hidden="false" name="dp_t" vbProcedure="false">DISEÑO!$C$38</definedName>
    <definedName function="false" hidden="false" name="dSe" vbProcedure="false">DIBUJO!$B$8</definedName>
    <definedName function="false" hidden="false" name="dSp" vbProcedure="false">DIBUJO!$B$5</definedName>
    <definedName function="false" hidden="false" name="dxe" vbProcedure="false">DIBUJO!$B$6</definedName>
    <definedName function="false" hidden="false" name="dxp" vbProcedure="false">DIBUJO!$B$4</definedName>
    <definedName function="false" hidden="false" name="j_Fsu" vbProcedure="false">CALCULO!$D$83</definedName>
    <definedName function="false" hidden="false" name="j_Mpb" vbProcedure="false">CALCULO!$D$90</definedName>
    <definedName function="false" hidden="false" name="j_Mpc" vbProcedure="false">CALCULO!$D$91</definedName>
    <definedName function="false" hidden="false" name="j_Py" vbProcedure="false">CALCULO!$D$87</definedName>
    <definedName function="false" hidden="false" name="j_Rcp" vbProcedure="false">CALCULO!$D$84</definedName>
    <definedName function="false" hidden="false" name="j_Rfb" vbProcedure="false">CALCULO!$D$79</definedName>
    <definedName function="false" hidden="false" name="j_Rpz" vbProcedure="false">CALCULO!$D$88</definedName>
    <definedName function="false" hidden="false" name="j_Ru" vbProcedure="false">CALCULO!$D$86</definedName>
    <definedName function="false" hidden="false" name="j_Rwb" vbProcedure="false">CALCULO!$D$82</definedName>
    <definedName function="false" hidden="false" name="j_Rwc" vbProcedure="false">CALCULO!$D$81</definedName>
    <definedName function="false" hidden="false" name="j_Rwy" vbProcedure="false">CALCULO!$D$80</definedName>
    <definedName function="false" hidden="false" name="j_tmin" vbProcedure="false">CALCULO!$D$89</definedName>
    <definedName function="false" hidden="false" name="j_tpz" vbProcedure="false">CALCULO!$D$85</definedName>
    <definedName function="false" hidden="false" name="k_E" vbProcedure="false">CALCULO!$D$6</definedName>
    <definedName function="false" hidden="false" name="k_smf" vbProcedure="false">CALCULO!$D$5</definedName>
    <definedName function="false" hidden="false" name="lim_verde" vbProcedure="false">DISEÑO!$C$9</definedName>
    <definedName function="false" hidden="false" name="L_m" vbProcedure="false">DISEÑO!$C$20</definedName>
    <definedName function="false" hidden="false" name="n_b" vbProcedure="false">DISEÑO!$C$44</definedName>
    <definedName function="false" hidden="false" name="pl_acero" vbProcedure="false">DISEÑO!$C$40</definedName>
    <definedName function="false" hidden="false" name="pl_bfp" vbProcedure="false">DISEÑO!$C$43</definedName>
    <definedName function="false" hidden="false" name="pl_Fu" vbProcedure="false">DISEÑO!$E$41</definedName>
    <definedName function="false" hidden="false" name="pl_Fy" vbProcedure="false">DISEÑO!$C$41</definedName>
    <definedName function="false" hidden="false" name="pl_g" vbProcedure="false">DISEÑO!$C$47</definedName>
    <definedName function="false" hidden="false" name="pl_Le" vbProcedure="false">DISEÑO!$C$50</definedName>
    <definedName function="false" hidden="false" name="pl_s" vbProcedure="false">DISEÑO!$C$49</definedName>
    <definedName function="false" hidden="false" name="pl_S1" vbProcedure="false">DISEÑO!$C$48</definedName>
    <definedName function="false" hidden="false" name="pl_tp" vbProcedure="false">DISEÑO!$C$42</definedName>
    <definedName function="false" hidden="false" name="pn_diam" vbProcedure="false">DISEÑO!$C$46</definedName>
    <definedName function="false" hidden="false" name="pn_grado" vbProcedure="false">DISEÑO!$C$45</definedName>
    <definedName function="false" hidden="false" name="Pu_col" vbProcedure="false">DISEÑO!$C$34</definedName>
    <definedName function="false" hidden="false" name="p_b" vbProcedure="false">CALCULO!$D$22</definedName>
    <definedName function="false" hidden="false" name="p_g" vbProcedure="false">CALCULO!$D$23</definedName>
    <definedName function="false" hidden="false" name="p_Le" vbProcedure="false">CALCULO!$D$26</definedName>
    <definedName function="false" hidden="false" name="p_Lp" vbProcedure="false">CALCULO!$D$28</definedName>
    <definedName function="false" hidden="false" name="p_nr" vbProcedure="false">CALCULO!$D$27</definedName>
    <definedName function="false" hidden="false" name="p_s" vbProcedure="false">CALCULO!$D$25</definedName>
    <definedName function="false" hidden="false" name="p_S1" vbProcedure="false">CALCULO!$D$24</definedName>
    <definedName function="false" hidden="false" name="p_tp" vbProcedure="false">CALCULO!$D$21</definedName>
    <definedName function="false" hidden="false" name="q_bb" vbProcedure="false">CALCULO!$D$95</definedName>
    <definedName function="false" hidden="false" name="q_bbl" vbProcedure="false">CALCULO!$D$96</definedName>
    <definedName function="false" hidden="false" name="q_bw" vbProcedure="false">CALCULO!$D$97</definedName>
    <definedName function="false" hidden="false" name="q_bwl" vbProcedure="false">CALCULO!$D$98</definedName>
    <definedName function="false" hidden="false" name="q_Ca" vbProcedure="false">CALCULO!$D$99</definedName>
    <definedName function="false" hidden="false" name="q_cb" vbProcedure="false">CALCULO!$D$100</definedName>
    <definedName function="false" hidden="false" name="q_cbl" vbProcedure="false">CALCULO!$D$101</definedName>
    <definedName function="false" hidden="false" name="q_cw" vbProcedure="false">CALCULO!$D$102</definedName>
    <definedName function="false" hidden="false" name="q_cwl" vbProcedure="false">CALCULO!$D$103</definedName>
    <definedName function="false" hidden="false" name="q_Lcl" vbProcedure="false">CALCULO!$D$93</definedName>
    <definedName function="false" hidden="false" name="q_Lreq" vbProcedure="false">CALCULO!$D$94</definedName>
    <definedName function="false" hidden="false" name="q_pn" vbProcedure="false">CALCULO!$D$104</definedName>
    <definedName function="false" hidden="false" name="r_An" vbProcedure="false">CALCULO!$D$53</definedName>
    <definedName function="false" hidden="false" name="r_bsb" vbProcedure="false">CALCULO!$D$57</definedName>
    <definedName function="false" hidden="false" name="r_bsp" vbProcedure="false">CALCULO!$D$58</definedName>
    <definedName function="false" hidden="false" name="r_bsp1" vbProcedure="false">CALCULO!$D$55</definedName>
    <definedName function="false" hidden="false" name="r_bsp2" vbProcedure="false">CALCULO!$D$56</definedName>
    <definedName function="false" hidden="false" name="r_cb" vbProcedure="false">CALCULO!$D$62</definedName>
    <definedName function="false" hidden="false" name="r_Fcr" vbProcedure="false">CALCULO!$D$61</definedName>
    <definedName function="false" hidden="false" name="r_Fe" vbProcedure="false">CALCULO!$D$60</definedName>
    <definedName function="false" hidden="false" name="r_KLr" vbProcedure="false">CALCULO!$D$59</definedName>
    <definedName function="false" hidden="false" name="r_tb" vbProcedure="false">CALCULO!$D$64</definedName>
    <definedName function="false" hidden="false" name="r_tp" vbProcedure="false">CALCULO!$D$63</definedName>
    <definedName function="false" hidden="false" name="r_tr" vbProcedure="false">CALCULO!$D$54</definedName>
    <definedName function="false" hidden="false" name="r_ty" vbProcedure="false">CALCULO!$D$52</definedName>
    <definedName function="false" hidden="false" name="sd_elec" vbProcedure="false">DISEÑO!$C$60</definedName>
    <definedName function="false" hidden="false" name="setback" vbProcedure="false">DISEÑO!$C$51</definedName>
    <definedName function="false" hidden="false" name="sistema" vbProcedure="false">DISEÑO!$C$10</definedName>
    <definedName function="false" hidden="false" name="s_Cpr" vbProcedure="false">CALCULO!$D$38</definedName>
    <definedName function="false" hidden="false" name="s_dbmax" vbProcedure="false">CALCULO!$D$40</definedName>
    <definedName function="false" hidden="false" name="s_Ff" vbProcedure="false">CALCULO!$D$47</definedName>
    <definedName function="false" hidden="false" name="s_Lh" vbProcedure="false">CALCULO!$D$44</definedName>
    <definedName function="false" hidden="false" name="s_Mf" vbProcedure="false">CALCULO!$D$46</definedName>
    <definedName function="false" hidden="false" name="s_Mpr" vbProcedure="false">CALCULO!$D$39</definedName>
    <definedName function="false" hidden="false" name="s_n10" vbProcedure="false">CALCULO!$D$48</definedName>
    <definedName function="false" hidden="false" name="s_n5" vbProcedure="false">CALCULO!$D$42</definedName>
    <definedName function="false" hidden="false" name="s_PZ" vbProcedure="false">CALCULO!$D$50</definedName>
    <definedName function="false" hidden="false" name="s_rn" vbProcedure="false">CALCULO!$D$41</definedName>
    <definedName function="false" hidden="false" name="s_Sh" vbProcedure="false">CALCULO!$D$43</definedName>
    <definedName function="false" hidden="false" name="s_Vh" vbProcedure="false">CALCULO!$D$45</definedName>
    <definedName function="false" hidden="false" name="s_Vu" vbProcedure="false">CALCULO!$D$49</definedName>
    <definedName function="false" hidden="false" name="Vgrav" vbProcedure="false">DISEÑO!$C$21</definedName>
    <definedName function="false" hidden="false" name="vg_acero" vbProcedure="false">DISEÑO!$C$17</definedName>
    <definedName function="false" hidden="false" name="vg_bf_mm" vbProcedure="false">DISEÑO!$C$14</definedName>
    <definedName function="false" hidden="false" name="vg_d_mm" vbProcedure="false">DISEÑO!$C$13</definedName>
    <definedName function="false" hidden="false" name="vg_Fu" vbProcedure="false">DISEÑO!$E$18</definedName>
    <definedName function="false" hidden="false" name="vg_Fy" vbProcedure="false">DISEÑO!$C$18</definedName>
    <definedName function="false" hidden="false" name="vg_perfil" vbProcedure="false">DISEÑO!$C$12</definedName>
    <definedName function="false" hidden="false" name="vg_Rt" vbProcedure="false">DISEÑO!$E$19</definedName>
    <definedName function="false" hidden="false" name="vg_Ry" vbProcedure="false">DISEÑO!$C$19</definedName>
    <definedName function="false" hidden="false" name="vg_tf_mm" vbProcedure="false">DISEÑO!$C$16</definedName>
    <definedName function="false" hidden="false" name="vg_tw_mm" vbProcedure="false">DISEÑO!$C$15</definedName>
    <definedName function="false" hidden="false" name="w_acero" vbProcedure="false">DISEÑO!$C$59</definedName>
    <definedName function="false" hidden="false" name="w_db" vbProcedure="false">CALCULO!$D$67</definedName>
    <definedName function="false" hidden="false" name="w_dbi" vbProcedure="false">CALCULO!$D$66</definedName>
    <definedName function="false" hidden="false" name="w_dh" vbProcedure="false">CALCULO!$D$68</definedName>
    <definedName function="false" hidden="false" name="w_diam" vbProcedure="false">DISEÑO!$C$55</definedName>
    <definedName function="false" hidden="false" name="w_ev" vbProcedure="false">DISEÑO!$C$57</definedName>
    <definedName function="false" hidden="false" name="w_FEXX" vbProcedure="false">CALCULO!$D$76</definedName>
    <definedName function="false" hidden="false" name="w_Fu" vbProcedure="false">CALCULO!$D$71</definedName>
    <definedName function="false" hidden="false" name="w_Fy" vbProcedure="false">CALCULO!$D$70</definedName>
    <definedName function="false" hidden="false" name="w_grado" vbProcedure="false">DISEÑO!$C$54</definedName>
    <definedName function="false" hidden="false" name="w_Lp" vbProcedure="false">CALCULO!$D$69</definedName>
    <definedName function="false" hidden="false" name="w_n" vbProcedure="false">DISEÑO!$C$53</definedName>
    <definedName function="false" hidden="false" name="w_Rb" vbProcedure="false">CALCULO!$D$72</definedName>
    <definedName function="false" hidden="false" name="w_Rbr" vbProcedure="false">CALCULO!$D$73</definedName>
    <definedName function="false" hidden="false" name="w_Rr" vbProcedure="false">CALCULO!$D$75</definedName>
    <definedName function="false" hidden="false" name="w_Rw" vbProcedure="false">CALCULO!$D$77</definedName>
    <definedName function="false" hidden="false" name="w_Ry" vbProcedure="false">CALCULO!$D$74</definedName>
    <definedName function="false" hidden="false" name="w_s" vbProcedure="false">DISEÑO!$C$56</definedName>
    <definedName function="false" hidden="false" name="w_t" vbProcedure="false">DISEÑO!$C$58</definedName>
    <definedName function="false" hidden="false" name="w_w" vbProcedure="false">DISEÑO!$C$61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SMF: miembros de alta ductilidad y luz libre/d ≥ 9. IMF: ductilidad moderada y luz libre/d ≥ 7 (AISC 358-16 §7.3.1; AISC 341-16 Tabla D1.1).</t>
        </r>
      </text>
    </comment>
    <comment ref="C38" authorId="0">
      <text>
        <r>
          <rPr>
            <sz val="10"/>
            <rFont val="Arial"/>
            <family val="2"/>
          </rPr>
          <t xml:space="preserve">Espesor total agregado a la zona de panel.</t>
        </r>
      </text>
    </comment>
    <comment ref="C45" authorId="0">
      <text>
        <r>
          <rPr>
            <sz val="10"/>
            <rFont val="Arial"/>
            <family val="2"/>
          </rPr>
          <t xml:space="preserve">AISC 358-16 §7.5: pernos pretensados ASTM A490/A490M o F2280 con roscas excluidas del plano de corte.</t>
        </r>
      </text>
    </comment>
    <comment ref="C46" authorId="0">
      <text>
        <r>
          <rPr>
            <sz val="10"/>
            <rFont val="Arial"/>
            <family val="2"/>
          </rPr>
          <t xml:space="preserve">AISC 358-16 §7.3: db ≤ 1-1/8 in.</t>
        </r>
      </text>
    </comment>
  </commentList>
</comments>
</file>

<file path=xl/sharedStrings.xml><?xml version="1.0" encoding="utf-8"?>
<sst xmlns="http://schemas.openxmlformats.org/spreadsheetml/2006/main" count="708" uniqueCount="453">
  <si>
    <t xml:space="preserve">CONEXIÓN DE MOMENTO PRECALIFICADA — BOLTED FLANGE PLATE (BFP)</t>
  </si>
  <si>
    <t xml:space="preserve">AISC 358-16 Cap. 7  ·  AISC 341-16 (SMF / IMF)  ·  AISC 360-16 (J3, J4, J10, E)  ·  Diseño por capacidad LRFD  ·  Unidades: Tonf, Tonf·m, mm, kgf/cm²</t>
  </si>
  <si>
    <t xml:space="preserve">Celdas de ingreso:</t>
  </si>
  <si>
    <t xml:space="preserve">valor</t>
  </si>
  <si>
    <t xml:space="preserve">  Calculado:</t>
  </si>
  <si>
    <t xml:space="preserve">Estados:  VERDE ≤ límite  ·  AMARILLO entre límite y 1.00  ·  ROJO &gt; 1.00  (ratio = demanda / capacidad, o requerido / provisto)</t>
  </si>
  <si>
    <t xml:space="preserve">DATOS GENERALES</t>
  </si>
  <si>
    <t xml:space="preserve">PLANTA — ALA SUPERIOR  (--- rótula)</t>
  </si>
  <si>
    <t xml:space="preserve">ELEVACIÓN</t>
  </si>
  <si>
    <t xml:space="preserve">VERIFICACIONES — AISC 358-16 Cap. 7</t>
  </si>
  <si>
    <t xml:space="preserve">Proyecto</t>
  </si>
  <si>
    <t xml:space="preserve">Edificio — ejemplo</t>
  </si>
  <si>
    <t xml:space="preserve">Elemento / nudo</t>
  </si>
  <si>
    <t xml:space="preserve">Pórtico eje B, nivel 2</t>
  </si>
  <si>
    <t xml:space="preserve">Límite verde / amarillo (ratio)</t>
  </si>
  <si>
    <t xml:space="preserve">Sistema resistente</t>
  </si>
  <si>
    <t xml:space="preserve">IMF</t>
  </si>
  <si>
    <t xml:space="preserve">Verificación</t>
  </si>
  <si>
    <t xml:space="preserve">Referencia</t>
  </si>
  <si>
    <t xml:space="preserve">Demanda / req.</t>
  </si>
  <si>
    <t xml:space="preserve">Capacidad / prov.</t>
  </si>
  <si>
    <t xml:space="preserve">Unidad</t>
  </si>
  <si>
    <t xml:space="preserve">Ratio</t>
  </si>
  <si>
    <t xml:space="preserve">Estado</t>
  </si>
  <si>
    <t xml:space="preserve">1. VIGA</t>
  </si>
  <si>
    <t xml:space="preserve">PRECALIFICACIÓN (AISC 358-16 §7.3 · AISC 341-16)</t>
  </si>
  <si>
    <t xml:space="preserve">Perfil (catálogo o ARMADO)</t>
  </si>
  <si>
    <t xml:space="preserve">VK400X180X6X12</t>
  </si>
  <si>
    <t xml:space="preserve">Armado (mm)</t>
  </si>
  <si>
    <t xml:space="preserve">Peralte de viga ≤ W36 (914 mm)</t>
  </si>
  <si>
    <t xml:space="preserve">358 §7.3.1(2)</t>
  </si>
  <si>
    <t xml:space="preserve">mm</t>
  </si>
  <si>
    <t xml:space="preserve">Peralte d</t>
  </si>
  <si>
    <t xml:space="preserve">Peso de viga ≤ 150 lb/ft (223 kg/m)</t>
  </si>
  <si>
    <t xml:space="preserve">358 §7.3.1(3)</t>
  </si>
  <si>
    <t xml:space="preserve">kg/m</t>
  </si>
  <si>
    <t xml:space="preserve">Ancho de ala bf</t>
  </si>
  <si>
    <t xml:space="preserve">Espesor de ala de viga ≤ 1 in (25.4 mm)</t>
  </si>
  <si>
    <t xml:space="preserve">358 §7.3.1(4)</t>
  </si>
  <si>
    <t xml:space="preserve">Espesor de alma tw</t>
  </si>
  <si>
    <t xml:space="preserve">Luz libre / peralte ≥ 9 (SMF) | 7 (IMF)</t>
  </si>
  <si>
    <t xml:space="preserve">358 §7.3.1(5)</t>
  </si>
  <si>
    <t xml:space="preserve">-</t>
  </si>
  <si>
    <t xml:space="preserve">Espesor de ala tf</t>
  </si>
  <si>
    <t xml:space="preserve">Diámetro de perno de ala ≤ 1-1/8 in</t>
  </si>
  <si>
    <t xml:space="preserve">358 §7.3</t>
  </si>
  <si>
    <t xml:space="preserve">Acero</t>
  </si>
  <si>
    <t xml:space="preserve">A572 Gr50 (plancha)</t>
  </si>
  <si>
    <t xml:space="preserve">Pernos de ala A490 / F2280, roscas excluidas</t>
  </si>
  <si>
    <t xml:space="preserve">358 §7.5</t>
  </si>
  <si>
    <t xml:space="preserve">Fy / Fu</t>
  </si>
  <si>
    <t xml:space="preserve">kgf/cm²</t>
  </si>
  <si>
    <t xml:space="preserve">Esbeltez ala de viga bf/2tf</t>
  </si>
  <si>
    <t xml:space="preserve">341 Tabla D1.1</t>
  </si>
  <si>
    <t xml:space="preserve">Ry / Rt</t>
  </si>
  <si>
    <t xml:space="preserve">Esbeltez alma de viga h/tw</t>
  </si>
  <si>
    <t xml:space="preserve">Luz entre ejes de columnas L</t>
  </si>
  <si>
    <t xml:space="preserve">m</t>
  </si>
  <si>
    <t xml:space="preserve">Esbeltez ala de columna bf/2tf</t>
  </si>
  <si>
    <t xml:space="preserve">Vgrav en la rótula (1.2D + f1L + 0.2S)</t>
  </si>
  <si>
    <t xml:space="preserve">Tonf</t>
  </si>
  <si>
    <t xml:space="preserve">PROCEDIMIENTO AISC 358-16 §7.6 — VALORES CLAVE</t>
  </si>
  <si>
    <t xml:space="preserve">Esbeltez alma de columna h/tw (con Ca)</t>
  </si>
  <si>
    <t xml:space="preserve">2. COLUMNA (conexión al ala)</t>
  </si>
  <si>
    <t xml:space="preserve">Paso 1</t>
  </si>
  <si>
    <t xml:space="preserve">Cpr = (Fy+Fu)/2Fy ≤ 1.2</t>
  </si>
  <si>
    <t xml:space="preserve">PLACAS DE ALA Y PERNOS (AISC 358-16 §7.6)</t>
  </si>
  <si>
    <t xml:space="preserve">HA500X250X10X15</t>
  </si>
  <si>
    <t xml:space="preserve">Mpr = Cpr·Ry·Fy·Zx</t>
  </si>
  <si>
    <t xml:space="preserve">Tonf·m</t>
  </si>
  <si>
    <t xml:space="preserve">Diámetro máximo por ruptura del ala de viga</t>
  </si>
  <si>
    <t xml:space="preserve">Paso 2</t>
  </si>
  <si>
    <t xml:space="preserve">db,máx (ruptura ala de viga)</t>
  </si>
  <si>
    <t xml:space="preserve">Número de pernos — Paso 5: 1.25Mpr/(φn·rn·(d+tp))</t>
  </si>
  <si>
    <t xml:space="preserve">Paso 5</t>
  </si>
  <si>
    <t xml:space="preserve">pernos</t>
  </si>
  <si>
    <t xml:space="preserve">Paso 4</t>
  </si>
  <si>
    <t xml:space="preserve">rn por perno (corte / aplast. ala / placa)</t>
  </si>
  <si>
    <t xml:space="preserve">Corte en pernos — Paso 10: Ff ≤ φn·n·rn</t>
  </si>
  <si>
    <t xml:space="preserve">Pasos 4 y 10</t>
  </si>
  <si>
    <t xml:space="preserve">n requerido (1.25·Mpr)</t>
  </si>
  <si>
    <t xml:space="preserve">Placa — fluencia en tracción</t>
  </si>
  <si>
    <t xml:space="preserve">Paso 11 (φd = 1.0)</t>
  </si>
  <si>
    <t xml:space="preserve">Paso 6</t>
  </si>
  <si>
    <t xml:space="preserve">Sh = S1 + s(n/2 − 1)</t>
  </si>
  <si>
    <t xml:space="preserve">cm</t>
  </si>
  <si>
    <t xml:space="preserve">Placa — ruptura en tracción</t>
  </si>
  <si>
    <t xml:space="preserve">Paso 12 · J4.1(b)</t>
  </si>
  <si>
    <t xml:space="preserve">—</t>
  </si>
  <si>
    <t xml:space="preserve">Lh = L − dc − 2Sh</t>
  </si>
  <si>
    <t xml:space="preserve">Placa — bloque de cortante</t>
  </si>
  <si>
    <t xml:space="preserve">Paso 13 · J4.3</t>
  </si>
  <si>
    <t xml:space="preserve">Paso 7</t>
  </si>
  <si>
    <t xml:space="preserve">Vh = 2Mpr/Lh + Vgrav</t>
  </si>
  <si>
    <t xml:space="preserve">Ala de viga — bloque de cortante</t>
  </si>
  <si>
    <t xml:space="preserve">Paso 8</t>
  </si>
  <si>
    <t xml:space="preserve">Mf = Mpr + Vh·Sh</t>
  </si>
  <si>
    <t xml:space="preserve">Placa — pandeo en compresión (K = 0.65, L = S1)</t>
  </si>
  <si>
    <t xml:space="preserve">Paso 14 · J4.4 / E3</t>
  </si>
  <si>
    <t xml:space="preserve">Filete / radio alma–ala (para k)</t>
  </si>
  <si>
    <t xml:space="preserve">Paso 9</t>
  </si>
  <si>
    <t xml:space="preserve">Ff = Mf/(d + tp)</t>
  </si>
  <si>
    <t xml:space="preserve">Desgarre de pernos en placa</t>
  </si>
  <si>
    <t xml:space="preserve">J3.10</t>
  </si>
  <si>
    <t xml:space="preserve">Tope de columna → placa superior</t>
  </si>
  <si>
    <t xml:space="preserve">Paso 10</t>
  </si>
  <si>
    <t xml:space="preserve">n requerido (Ff)</t>
  </si>
  <si>
    <t xml:space="preserve">Desgarre de pernos en ala de viga</t>
  </si>
  <si>
    <t xml:space="preserve">Vigas a ambos lados</t>
  </si>
  <si>
    <t xml:space="preserve">No</t>
  </si>
  <si>
    <t xml:space="preserve">§7.4</t>
  </si>
  <si>
    <t xml:space="preserve">Zona protegida desde cara de columna</t>
  </si>
  <si>
    <t xml:space="preserve">CONEXIÓN DE ALMA (Paso 15: Vu = 2Mpr/Lh + Vgrav)</t>
  </si>
  <si>
    <t xml:space="preserve">Pu de la columna (compresión)</t>
  </si>
  <si>
    <t xml:space="preserve">Largo de placa de ala Lp</t>
  </si>
  <si>
    <t xml:space="preserve">Pernos de alma a corte</t>
  </si>
  <si>
    <t xml:space="preserve">J3.6</t>
  </si>
  <si>
    <t xml:space="preserve">Rigidizadores de continuidad</t>
  </si>
  <si>
    <t xml:space="preserve">Sí</t>
  </si>
  <si>
    <t xml:space="preserve">16</t>
  </si>
  <si>
    <t xml:space="preserve">Fuerza para rigidizadores Fsu</t>
  </si>
  <si>
    <t xml:space="preserve">Aplastamiento / desgarre (alma o placa)</t>
  </si>
  <si>
    <t xml:space="preserve">Rigid. continuidad: espesor</t>
  </si>
  <si>
    <t xml:space="preserve">Placa de cortante — fluencia</t>
  </si>
  <si>
    <t xml:space="preserve">J4.2(a)</t>
  </si>
  <si>
    <t xml:space="preserve">Rigid. continuidad: ancho (c/lado)</t>
  </si>
  <si>
    <t xml:space="preserve">REQUISITOS DE DETALLE (AISC 358-16 Cap. 7)</t>
  </si>
  <si>
    <t xml:space="preserve">Placa de cortante — ruptura</t>
  </si>
  <si>
    <t xml:space="preserve">J4.2(b)</t>
  </si>
  <si>
    <t xml:space="preserve">Placa de refuerzo del alma (doubler)</t>
  </si>
  <si>
    <t xml:space="preserve">• Placas de ala soldadas al ala de la columna con CJP (penetración completa).</t>
  </si>
  <si>
    <t xml:space="preserve">Soldadura placa de cortante – columna</t>
  </si>
  <si>
    <t xml:space="preserve">J2.4</t>
  </si>
  <si>
    <t xml:space="preserve">3. PLACAS DE ALA Y PERNOS</t>
  </si>
  <si>
    <t xml:space="preserve">• Pernos pretensados A490 / F2280, roscas excluidas; agujeros taladrados o subpunzonados y escariados.</t>
  </si>
  <si>
    <t xml:space="preserve">COLUMNA (Paso 16–17 · AISC 341-16 E3)</t>
  </si>
  <si>
    <t xml:space="preserve">Acero de placa</t>
  </si>
  <si>
    <t xml:space="preserve">• Placa simple de alma soldada a la columna y apernada a la viga.</t>
  </si>
  <si>
    <t xml:space="preserve">Flexión local del ala</t>
  </si>
  <si>
    <t xml:space="preserve">J10.1</t>
  </si>
  <si>
    <t xml:space="preserve">• Zona protegida: desde la cara de la columna hasta Sh + d (sin soldaduras ni anclajes).</t>
  </si>
  <si>
    <t xml:space="preserve">Fluencia local del alma</t>
  </si>
  <si>
    <t xml:space="preserve">J10.2</t>
  </si>
  <si>
    <t xml:space="preserve">tp — espesor de placa</t>
  </si>
  <si>
    <t xml:space="preserve">• Suplementos (shims) entre placa y ala ≤ 1/4 in permitidos.</t>
  </si>
  <si>
    <t xml:space="preserve">Aplastamiento del alma (crippling)</t>
  </si>
  <si>
    <t xml:space="preserve">J10.3</t>
  </si>
  <si>
    <t xml:space="preserve">bfp — ancho de placa</t>
  </si>
  <si>
    <t xml:space="preserve">• Arriostramiento lateral de la viga según AISC 341 (SMF / IMF).</t>
  </si>
  <si>
    <t xml:space="preserve">Pandeo del alma en compresión</t>
  </si>
  <si>
    <t xml:space="preserve">J10.5</t>
  </si>
  <si>
    <t xml:space="preserve">Pernos por ala n (2 líneas)</t>
  </si>
  <si>
    <t xml:space="preserve">• Rango de validez y detalles adicionales: revisar AISC 358-16 §7.3 a §7.6 completo.</t>
  </si>
  <si>
    <t xml:space="preserve">J10.8</t>
  </si>
  <si>
    <t xml:space="preserve">Grado</t>
  </si>
  <si>
    <t xml:space="preserve">A490-X (roscas excl.)</t>
  </si>
  <si>
    <t xml:space="preserve">Zona de panel — resistencia</t>
  </si>
  <si>
    <t xml:space="preserve">341 E3.6e · J10.6(b)</t>
  </si>
  <si>
    <t xml:space="preserve">Diámetro</t>
  </si>
  <si>
    <t xml:space="preserve">7/8"</t>
  </si>
  <si>
    <t xml:space="preserve">Zona de panel — espesor mínimo</t>
  </si>
  <si>
    <t xml:space="preserve">341 E3.6e.2</t>
  </si>
  <si>
    <t xml:space="preserve">g — gramil (entre líneas)</t>
  </si>
  <si>
    <t xml:space="preserve">Columna fuerte – viga débil ΣM*pb/ΣM*pc</t>
  </si>
  <si>
    <t xml:space="preserve">341 E3.4a</t>
  </si>
  <si>
    <t xml:space="preserve">S1 — cara de columna a 1ª fila</t>
  </si>
  <si>
    <t xml:space="preserve">DETALLES (requerido / provisto)</t>
  </si>
  <si>
    <t xml:space="preserve">s — paso entre filas</t>
  </si>
  <si>
    <t xml:space="preserve">Paso entre filas s ≥ 3·db</t>
  </si>
  <si>
    <t xml:space="preserve">J3.3 (preferido)</t>
  </si>
  <si>
    <t xml:space="preserve">Borde extremo de placa (última fila)</t>
  </si>
  <si>
    <t xml:space="preserve">Gramil g ≥ 3·db</t>
  </si>
  <si>
    <t xml:space="preserve">Holgura viga – cara de columna</t>
  </si>
  <si>
    <t xml:space="preserve">Borde lateral de placa (bfp − g)/2</t>
  </si>
  <si>
    <t xml:space="preserve">J3.4</t>
  </si>
  <si>
    <t xml:space="preserve">4. CONEXIÓN DE ALMA (placa simple)</t>
  </si>
  <si>
    <t xml:space="preserve">Borde lateral del ala de viga (bf − g)/2</t>
  </si>
  <si>
    <t xml:space="preserve">Pernos (1 línea vertical)</t>
  </si>
  <si>
    <t xml:space="preserve">Borde extremo de placa</t>
  </si>
  <si>
    <t xml:space="preserve">A325-N (roscas incl.)</t>
  </si>
  <si>
    <t xml:space="preserve">Borde del ala de viga (S1 − holgura)</t>
  </si>
  <si>
    <t xml:space="preserve">3/4"</t>
  </si>
  <si>
    <t xml:space="preserve">Rigid. continuidad: b + tcw/2 ≥ bbf/3 ; t ≥ tp/2</t>
  </si>
  <si>
    <t xml:space="preserve">Paso vertical</t>
  </si>
  <si>
    <t xml:space="preserve">Borde vertical</t>
  </si>
  <si>
    <t xml:space="preserve">ALCANCE Y SUPUESTOS</t>
  </si>
  <si>
    <t xml:space="preserve">Espesor de placa de cortante</t>
  </si>
  <si>
    <t xml:space="preserve">• Diseño por capacidad: la demanda sale de Mpr (no de combinaciones del análisis).</t>
  </si>
  <si>
    <t xml:space="preserve">Acero placa de cortante</t>
  </si>
  <si>
    <t xml:space="preserve">A36 (plancha)</t>
  </si>
  <si>
    <t xml:space="preserve">• Viga igual en ambos extremos del vano; Lh = L − dc − 2Sh.</t>
  </si>
  <si>
    <t xml:space="preserve">Electrodo</t>
  </si>
  <si>
    <t xml:space="preserve">E70XX</t>
  </si>
  <si>
    <t xml:space="preserve">• Rigidizadores y zona de panel con Ff y ΣMf; se desprecia el cortante de columna Vc (conservador).</t>
  </si>
  <si>
    <t xml:space="preserve">Filete placa de cortante – columna (c/lado)</t>
  </si>
  <si>
    <t xml:space="preserve">• Conexión de alma sin excentricidad; ranuras horizontales no consideradas.</t>
  </si>
  <si>
    <t xml:space="preserve">• Herramienta de apoyo: la responsabilidad del diseño es del ingeniero que la usa.</t>
  </si>
  <si>
    <t xml:space="preserve">HOJA DE CÁLCULO — AISC 358-16 §7.6, procedimiento paso a paso (no editar)</t>
  </si>
  <si>
    <t xml:space="preserve">Unidades: kgf, cm. φd = 1.00 (estados dúctiles) y φn = 0.90 (no dúctiles) según AISC 358-16 §2.4.1; J10 y conexión de alma con φ de AISC 360-16.</t>
  </si>
  <si>
    <t xml:space="preserve">0. GEOMETRÍA, MATERIALES Y PERNOS</t>
  </si>
  <si>
    <t xml:space="preserve">SMF</t>
  </si>
  <si>
    <t xml:space="preserve">1 = SMF ; 0 = IMF</t>
  </si>
  <si>
    <t xml:space="preserve">E</t>
  </si>
  <si>
    <t xml:space="preserve">Módulo de elasticidad</t>
  </si>
  <si>
    <t xml:space="preserve">d</t>
  </si>
  <si>
    <t xml:space="preserve">d (cm)</t>
  </si>
  <si>
    <t xml:space="preserve">bbf</t>
  </si>
  <si>
    <t xml:space="preserve">bbf (cm)</t>
  </si>
  <si>
    <t xml:space="preserve">tbw</t>
  </si>
  <si>
    <t xml:space="preserve">tbw (cm)</t>
  </si>
  <si>
    <t xml:space="preserve">tbf</t>
  </si>
  <si>
    <t xml:space="preserve">tbf (cm)</t>
  </si>
  <si>
    <t xml:space="preserve">dc</t>
  </si>
  <si>
    <t xml:space="preserve">dc (cm)</t>
  </si>
  <si>
    <t xml:space="preserve">bcf</t>
  </si>
  <si>
    <t xml:space="preserve">bcf (cm)</t>
  </si>
  <si>
    <t xml:space="preserve">tcw</t>
  </si>
  <si>
    <t xml:space="preserve">tcw (cm)</t>
  </si>
  <si>
    <t xml:space="preserve">tcf</t>
  </si>
  <si>
    <t xml:space="preserve">tcf (cm)</t>
  </si>
  <si>
    <t xml:space="preserve">A</t>
  </si>
  <si>
    <t xml:space="preserve">Área de viga</t>
  </si>
  <si>
    <t xml:space="preserve">cm²</t>
  </si>
  <si>
    <t xml:space="preserve">w</t>
  </si>
  <si>
    <t xml:space="preserve">Peso de viga = 0.785·A</t>
  </si>
  <si>
    <t xml:space="preserve">Zx</t>
  </si>
  <si>
    <t xml:space="preserve">bf·tf·(d−tf) + tw·(d−2tf)²/4</t>
  </si>
  <si>
    <t xml:space="preserve">cm³</t>
  </si>
  <si>
    <t xml:space="preserve">Ac</t>
  </si>
  <si>
    <t xml:space="preserve">Área de columna</t>
  </si>
  <si>
    <t xml:space="preserve">Zc</t>
  </si>
  <si>
    <t xml:space="preserve">Módulo plástico de columna</t>
  </si>
  <si>
    <t xml:space="preserve">kc</t>
  </si>
  <si>
    <t xml:space="preserve">tcf + filete</t>
  </si>
  <si>
    <t xml:space="preserve">tp</t>
  </si>
  <si>
    <t xml:space="preserve">Espesor de placa de ala</t>
  </si>
  <si>
    <t xml:space="preserve">bfp</t>
  </si>
  <si>
    <t xml:space="preserve">Ancho de placa de ala</t>
  </si>
  <si>
    <t xml:space="preserve">g</t>
  </si>
  <si>
    <t xml:space="preserve">Gramil</t>
  </si>
  <si>
    <t xml:space="preserve">S1</t>
  </si>
  <si>
    <t xml:space="preserve">Cara de columna a primera fila</t>
  </si>
  <si>
    <t xml:space="preserve">s</t>
  </si>
  <si>
    <t xml:space="preserve">Paso entre filas</t>
  </si>
  <si>
    <t xml:space="preserve">Le,p</t>
  </si>
  <si>
    <t xml:space="preserve">n/2</t>
  </si>
  <si>
    <t xml:space="preserve">Filas de pernos</t>
  </si>
  <si>
    <t xml:space="preserve">Lp</t>
  </si>
  <si>
    <t xml:space="preserve">Largo de placa = S1 + s(n/2 − 1) + Le</t>
  </si>
  <si>
    <t xml:space="preserve">Le,b</t>
  </si>
  <si>
    <t xml:space="preserve">Borde del ala de viga = S1 − holgura</t>
  </si>
  <si>
    <t xml:space="preserve">db</t>
  </si>
  <si>
    <t xml:space="preserve">Diámetro perno de ala</t>
  </si>
  <si>
    <t xml:space="preserve">in</t>
  </si>
  <si>
    <t xml:space="preserve">Ab</t>
  </si>
  <si>
    <t xml:space="preserve">π·db²/4</t>
  </si>
  <si>
    <t xml:space="preserve">dh</t>
  </si>
  <si>
    <t xml:space="preserve">Agujero estándar (Tabla J3.3)</t>
  </si>
  <si>
    <t xml:space="preserve">dh,net</t>
  </si>
  <si>
    <t xml:space="preserve">dh + 1/16 in para área neta (B4.3b)</t>
  </si>
  <si>
    <t xml:space="preserve">Le,min</t>
  </si>
  <si>
    <t xml:space="preserve">Borde mínimo (Tabla J3.4)</t>
  </si>
  <si>
    <t xml:space="preserve">Fnv</t>
  </si>
  <si>
    <t xml:space="preserve">Resistencia nominal a corte</t>
  </si>
  <si>
    <t xml:space="preserve">1. AISC 358-16 §7.6 — DEMANDA POR CAPACIDAD</t>
  </si>
  <si>
    <t xml:space="preserve">Cpr</t>
  </si>
  <si>
    <t xml:space="preserve">Paso 1: (Fy + Fu)/(2Fy) ≤ 1.2</t>
  </si>
  <si>
    <t xml:space="preserve">Mpr</t>
  </si>
  <si>
    <t xml:space="preserve">Paso 1: Cpr·Ry·Fy·Ze (Ze = Zx de la viga)</t>
  </si>
  <si>
    <t xml:space="preserve">kgf·cm</t>
  </si>
  <si>
    <t xml:space="preserve">db,máx</t>
  </si>
  <si>
    <t xml:space="preserve">Paso 2: (bf/2)·(1 − Ry·Fy/(Rt·Fu)) − 1/8 in (ruptura del ala de viga)</t>
  </si>
  <si>
    <t xml:space="preserve">rn</t>
  </si>
  <si>
    <t xml:space="preserve">Paso 4: mín(Fnv·Ab ; 2.4·Fub·db·tf ; 2.4·Fup·db·tp)</t>
  </si>
  <si>
    <t xml:space="preserve">kgf</t>
  </si>
  <si>
    <t xml:space="preserve">n,req</t>
  </si>
  <si>
    <t xml:space="preserve">Paso 5: 1.25·Mpr/(φn·rn·(d + tp)), φn = 0.90</t>
  </si>
  <si>
    <t xml:space="preserve">Sh</t>
  </si>
  <si>
    <t xml:space="preserve">Paso 6: S1 + s·(n/2 − 1)</t>
  </si>
  <si>
    <t xml:space="preserve">Lh</t>
  </si>
  <si>
    <t xml:space="preserve">L − dc − 2·Sh</t>
  </si>
  <si>
    <t xml:space="preserve">Vh</t>
  </si>
  <si>
    <t xml:space="preserve">Paso 7: 2·Mpr/Lh + Vgrav</t>
  </si>
  <si>
    <t xml:space="preserve">Mf</t>
  </si>
  <si>
    <t xml:space="preserve">Paso 8: Mpr + Vh·Sh</t>
  </si>
  <si>
    <t xml:space="preserve">Ff</t>
  </si>
  <si>
    <t xml:space="preserve">Paso 9: Mf/(d + tp)</t>
  </si>
  <si>
    <t xml:space="preserve">Paso 10: Ff/(φn·rn)</t>
  </si>
  <si>
    <t xml:space="preserve">Vu</t>
  </si>
  <si>
    <t xml:space="preserve">Paso 15: cortante para la conexión de alma = 2Mpr/Lh + Vgrav</t>
  </si>
  <si>
    <t xml:space="preserve">Zona prot.</t>
  </si>
  <si>
    <t xml:space="preserve">Zona protegida: desde la cara de columna hasta Sh + d (AISC 358 §7.4)</t>
  </si>
  <si>
    <t xml:space="preserve">2. PLACA DE ALA Y ALA DE VIGA</t>
  </si>
  <si>
    <t xml:space="preserve">φdRn</t>
  </si>
  <si>
    <t xml:space="preserve">Paso 11: fluencia en tracción de placa 1.00·Fyp·bfp·tp</t>
  </si>
  <si>
    <t xml:space="preserve">An</t>
  </si>
  <si>
    <t xml:space="preserve">mín([bfp − 2·dh,net]·tp ; 0.85·Ag) (J4.1b)</t>
  </si>
  <si>
    <t xml:space="preserve">φnRn</t>
  </si>
  <si>
    <t xml:space="preserve">Paso 12: ruptura en tracción 0.90·Fup·An</t>
  </si>
  <si>
    <t xml:space="preserve">Paso 13: bloque de cortante placa, bloques exteriores (J4.3, Ubs = 1)</t>
  </si>
  <si>
    <t xml:space="preserve">Bloque de cortante placa, bloque central entre líneas</t>
  </si>
  <si>
    <t xml:space="preserve">Paso 13: bloque de cortante del ala de viga, bloques exteriores</t>
  </si>
  <si>
    <t xml:space="preserve">Bloque de cortante de placa (gobernante)</t>
  </si>
  <si>
    <t xml:space="preserve">KL/r</t>
  </si>
  <si>
    <t xml:space="preserve">Paso 14: 0.65·S1/(tp/√12)</t>
  </si>
  <si>
    <t xml:space="preserve">Fe</t>
  </si>
  <si>
    <t xml:space="preserve">π²E/(KL/r)²</t>
  </si>
  <si>
    <t xml:space="preserve">Fcr</t>
  </si>
  <si>
    <t xml:space="preserve">KL/r ≤ 25: Fy (J4.4) ; si no, Cap. E (E3)</t>
  </si>
  <si>
    <t xml:space="preserve">φnPn</t>
  </si>
  <si>
    <t xml:space="preserve">Paso 14: pandeo de placa en compresión 0.90·Fcr·bfp·tp</t>
  </si>
  <si>
    <t xml:space="preserve">Desgarre en placa (J3.10): φn·2·[mín(1.2Lc,e ; 2.4db) + (n/2−1)·mín(1.2(s−dh) ; 2.4db)]·tp·Fup</t>
  </si>
  <si>
    <t xml:space="preserve">Desgarre en ala de viga (J3.10), borde = S1 − holgura</t>
  </si>
  <si>
    <t xml:space="preserve">3. CONEXIÓN DE ALMA — PLACA SIMPLE (AISC 360-16)</t>
  </si>
  <si>
    <t xml:space="preserve">Perno de alma</t>
  </si>
  <si>
    <t xml:space="preserve">Agujero estándar</t>
  </si>
  <si>
    <t xml:space="preserve">Lsp</t>
  </si>
  <si>
    <t xml:space="preserve">Alto de placa de cortante = (n−1)·s + 2·ev</t>
  </si>
  <si>
    <t xml:space="preserve">Fy</t>
  </si>
  <si>
    <t xml:space="preserve">Placa de cortante</t>
  </si>
  <si>
    <t xml:space="preserve">Fu</t>
  </si>
  <si>
    <t xml:space="preserve">φRn</t>
  </si>
  <si>
    <t xml:space="preserve">Pernos a corte simple: 0.75·n·Fnv·Ab</t>
  </si>
  <si>
    <t xml:space="preserve">Aplastamiento/desgarre: 0.75·[mín(1.2Lc,e;2.4d)+(n−1)mín(1.2(s−dh);2.4d)]·mín(tw·Fub ; t·Fup)</t>
  </si>
  <si>
    <t xml:space="preserve">Fluencia por corte de placa: 1.00·0.6·Fy·Lsp·t (J4.2a)</t>
  </si>
  <si>
    <t xml:space="preserve">Ruptura por corte de placa: 0.75·0.6·Fu·(Lsp − n·dh,net)·t (J4.2b)</t>
  </si>
  <si>
    <t xml:space="preserve">FEXX</t>
  </si>
  <si>
    <t xml:space="preserve">Filetes placa–columna (2 lados): 0.75·0.6·FEXX·0.707·w·2·Lsp</t>
  </si>
  <si>
    <t xml:space="preserve">4. COLUMNA — AISC 360-16 J10 CON Ff, Y AISC 341-16 E3</t>
  </si>
  <si>
    <t xml:space="preserve">Flexión local del ala J10.1: 0.90·6.25·Fyc·tcf² (×0.5 si a &lt; 10tcf del tope)</t>
  </si>
  <si>
    <t xml:space="preserve">Fluencia local del alma J10.2: 1.00·(5kc + tp)·Fyc·tcw  (2.5kc si a ≤ dc)</t>
  </si>
  <si>
    <t xml:space="preserve">Crippling J10.3 (lb = tp): 0.75·(0.80|0.40)·tcw²·[1 + …]·√(E·Fyc·tcf/tcw)</t>
  </si>
  <si>
    <t xml:space="preserve">Pandeo del alma J10.5: 0.90·24·tcw³·√(E·Fyc)/h</t>
  </si>
  <si>
    <t xml:space="preserve">Fsu</t>
  </si>
  <si>
    <t xml:space="preserve">Ff − mín(φRn de J10.1, J10.2, J10.3, J10.5)</t>
  </si>
  <si>
    <t xml:space="preserve">Rigidizadores de continuidad: 0.90·Fyc·2·b·t (J10.8)</t>
  </si>
  <si>
    <t xml:space="preserve">tpz</t>
  </si>
  <si>
    <t xml:space="preserve">Espesor de zona de panel = tcw + doubler</t>
  </si>
  <si>
    <t xml:space="preserve">Ru</t>
  </si>
  <si>
    <t xml:space="preserve">Zona de panel (E3.6e): ΣMf/(d + tp)</t>
  </si>
  <si>
    <t xml:space="preserve">Py</t>
  </si>
  <si>
    <t xml:space="preserve">Fyc·Ac</t>
  </si>
  <si>
    <t xml:space="preserve">φvRn</t>
  </si>
  <si>
    <t xml:space="preserve">φv = 1.00 · J10.6(b): 0.6·Fy·dc·tpz·(1 + 3bcf·tcf²/(db·dc·tpz))·(1 ó 1.9 − 1.2Pr/Pc)</t>
  </si>
  <si>
    <t xml:space="preserve">t,mín</t>
  </si>
  <si>
    <t xml:space="preserve">E3.6e.2: (dz + wz)/90, dz = d + tp, wz = dc − 2tcf</t>
  </si>
  <si>
    <t xml:space="preserve">ΣM*pb</t>
  </si>
  <si>
    <t xml:space="preserve">E3.4a: Σ[Mpr + Vh·(Sh + dc/2)]</t>
  </si>
  <si>
    <t xml:space="preserve">ΣM*pc</t>
  </si>
  <si>
    <t xml:space="preserve">E3.4a: 2·Zc·(Fyc − Puc/Ag) (columna arriba y abajo)</t>
  </si>
  <si>
    <t xml:space="preserve">5. PRECALIFICACIÓN — AISC 358-16 §7.3 Y AISC 341-16 TABLA D1.1</t>
  </si>
  <si>
    <t xml:space="preserve">Lcl/d</t>
  </si>
  <si>
    <t xml:space="preserve">Luz libre / peralte = (L − dc)/d</t>
  </si>
  <si>
    <t xml:space="preserve">mín.</t>
  </si>
  <si>
    <t xml:space="preserve">9 (SMF) ; 7 (IMF)</t>
  </si>
  <si>
    <t xml:space="preserve">λf viga</t>
  </si>
  <si>
    <t xml:space="preserve">bf/(2tf)</t>
  </si>
  <si>
    <t xml:space="preserve">λlím</t>
  </si>
  <si>
    <t xml:space="preserve">0.32√(E/RyFy) alta ductilidad (SMF) ; 0.40√(E/RyFy) moderada (IMF)</t>
  </si>
  <si>
    <t xml:space="preserve">λw viga</t>
  </si>
  <si>
    <t xml:space="preserve">h/tw, h = d − 2tf</t>
  </si>
  <si>
    <t xml:space="preserve">2.57√(E/RyFy) (SMF, Ca ≈ 0) ; 3.96√(E/RyFy) (IMF)</t>
  </si>
  <si>
    <t xml:space="preserve">Ca</t>
  </si>
  <si>
    <t xml:space="preserve">Columna: Pu/(φc·Py), φc = 0.90</t>
  </si>
  <si>
    <t xml:space="preserve">λf col.</t>
  </si>
  <si>
    <t xml:space="preserve">0.32 | 0.40 ·√(E/RyFy)</t>
  </si>
  <si>
    <t xml:space="preserve">λw col.</t>
  </si>
  <si>
    <t xml:space="preserve">h/tw, h = dc − 2tcf</t>
  </si>
  <si>
    <t xml:space="preserve">Tabla D1.1 con Ca (alma de columna, alta/moderada ductilidad)</t>
  </si>
  <si>
    <t xml:space="preserve">1 si el grado es A490-X o F2280-X (§7.5)</t>
  </si>
  <si>
    <t xml:space="preserve">CATÁLOGOS — ampliables agregando filas dentro de cada rango</t>
  </si>
  <si>
    <t xml:space="preserve">Vigas (VK: KUBIEC; W: AISC redondeado a mm)</t>
  </si>
  <si>
    <t xml:space="preserve">Columnas (HA: KUBIEC; W: AISC)</t>
  </si>
  <si>
    <t xml:space="preserve">Aceros (kgf/cm²) — Ry, Rt: AISC 341-16 Tabla A3.1</t>
  </si>
  <si>
    <t xml:space="preserve">Pernos pretensados (kgf/cm²) — AISC 360-16 Tabla J3.2</t>
  </si>
  <si>
    <t xml:space="preserve">Diámetros — borde mín. AISC 360-16 Tabla J3.4</t>
  </si>
  <si>
    <t xml:space="preserve">Opción</t>
  </si>
  <si>
    <t xml:space="preserve">Sistema</t>
  </si>
  <si>
    <t xml:space="preserve">Espesores (mm)</t>
  </si>
  <si>
    <t xml:space="preserve">Pernos por ala (n, par)</t>
  </si>
  <si>
    <t xml:space="preserve">Viga</t>
  </si>
  <si>
    <t xml:space="preserve">bf</t>
  </si>
  <si>
    <t xml:space="preserve">tw</t>
  </si>
  <si>
    <t xml:space="preserve">tf</t>
  </si>
  <si>
    <t xml:space="preserve">Columna</t>
  </si>
  <si>
    <t xml:space="preserve">Ry</t>
  </si>
  <si>
    <t xml:space="preserve">Rt</t>
  </si>
  <si>
    <t xml:space="preserve">Fub</t>
  </si>
  <si>
    <t xml:space="preserve">Ø</t>
  </si>
  <si>
    <t xml:space="preserve">db (in)</t>
  </si>
  <si>
    <t xml:space="preserve">borde mín (in)</t>
  </si>
  <si>
    <t xml:space="preserve">Sí/No</t>
  </si>
  <si>
    <t xml:space="preserve">t</t>
  </si>
  <si>
    <t xml:space="preserve">n</t>
  </si>
  <si>
    <t xml:space="preserve">ARMADO (flejes soldados)</t>
  </si>
  <si>
    <t xml:space="preserve">5/8"</t>
  </si>
  <si>
    <t xml:space="preserve">E60XX</t>
  </si>
  <si>
    <t xml:space="preserve">VK300X150X4X10</t>
  </si>
  <si>
    <t xml:space="preserve">HA360X180X6X12</t>
  </si>
  <si>
    <t xml:space="preserve">F2280-X (roscas excl.)</t>
  </si>
  <si>
    <t xml:space="preserve">VK330X160X6X10</t>
  </si>
  <si>
    <t xml:space="preserve">HA400X200X8X15</t>
  </si>
  <si>
    <t xml:space="preserve">A36 (laminado)</t>
  </si>
  <si>
    <t xml:space="preserve">A490-N (roscas incl.)</t>
  </si>
  <si>
    <t xml:space="preserve">VK360X180X6X10</t>
  </si>
  <si>
    <t xml:space="preserve">HA440X220X8X15</t>
  </si>
  <si>
    <t xml:space="preserve">A572 Gr50 (laminado)</t>
  </si>
  <si>
    <t xml:space="preserve">A325-X (roscas excl.)</t>
  </si>
  <si>
    <t xml:space="preserve">1"</t>
  </si>
  <si>
    <t xml:space="preserve">VK380X180X6X10</t>
  </si>
  <si>
    <t xml:space="preserve">HA480X240X8X15</t>
  </si>
  <si>
    <t xml:space="preserve">A992</t>
  </si>
  <si>
    <t xml:space="preserve">1-1/8"</t>
  </si>
  <si>
    <t xml:space="preserve">VK400X180X6X10</t>
  </si>
  <si>
    <t xml:space="preserve">1-1/4"</t>
  </si>
  <si>
    <t xml:space="preserve">HA520X260X10X15</t>
  </si>
  <si>
    <t xml:space="preserve">VK420X180X6X12</t>
  </si>
  <si>
    <t xml:space="preserve">HA540X270X10X15</t>
  </si>
  <si>
    <t xml:space="preserve">VK440X180X6X12</t>
  </si>
  <si>
    <t xml:space="preserve">W14X90</t>
  </si>
  <si>
    <t xml:space="preserve">W14X30</t>
  </si>
  <si>
    <t xml:space="preserve">W14X120</t>
  </si>
  <si>
    <t xml:space="preserve">W16X40</t>
  </si>
  <si>
    <t xml:space="preserve">W14X159</t>
  </si>
  <si>
    <t xml:space="preserve">W18X50</t>
  </si>
  <si>
    <t xml:space="preserve">W24X131</t>
  </si>
  <si>
    <t xml:space="preserve">W21X62</t>
  </si>
  <si>
    <t xml:space="preserve">W24X76</t>
  </si>
  <si>
    <t xml:space="preserve">W27X94</t>
  </si>
  <si>
    <t xml:space="preserve">W30X108</t>
  </si>
  <si>
    <t xml:space="preserve">Coordenadas de las vistas (normalizadas a ±1). No editar.</t>
  </si>
  <si>
    <t xml:space="preserve">Ala columna</t>
  </si>
  <si>
    <t xml:space="preserve">Ala viga</t>
  </si>
  <si>
    <t xml:space="preserve">Placa</t>
  </si>
  <si>
    <t xml:space="preserve">Rótula</t>
  </si>
  <si>
    <t xml:space="preserve">Pernos</t>
  </si>
  <si>
    <t xml:space="preserve">Ala int.</t>
  </si>
  <si>
    <t xml:space="preserve">Ala ext.</t>
  </si>
  <si>
    <t xml:space="preserve">Cont. sup</t>
  </si>
  <si>
    <t xml:space="preserve">Cont. inf</t>
  </si>
  <si>
    <t xml:space="preserve">Ala sup</t>
  </si>
  <si>
    <t xml:space="preserve">Ala inf</t>
  </si>
  <si>
    <t xml:space="preserve">Placa sup</t>
  </si>
  <si>
    <t xml:space="preserve">Placa inf</t>
  </si>
  <si>
    <t xml:space="preserve">Placa alma</t>
  </si>
  <si>
    <t xml:space="preserve">Pernos ala</t>
  </si>
  <si>
    <t xml:space="preserve">Pernos alma</t>
  </si>
  <si>
    <t xml:space="preserve">Largo de viga dibujado</t>
  </si>
  <si>
    <t xml:space="preserve">x centro planta</t>
  </si>
  <si>
    <t xml:space="preserve">S planta</t>
  </si>
  <si>
    <t xml:space="preserve">x centro elevación</t>
  </si>
  <si>
    <t xml:space="preserve">Hc/2</t>
  </si>
  <si>
    <t xml:space="preserve">S elevación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</si>
</sst>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"/>
    <numFmt numFmtId="168" formatCode="General"/>
    <numFmt numFmtId="169" formatCode=";;;"/>
    <numFmt numFmtId="170" formatCode="0.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8.5"/>
      <name val="Arial"/>
      <family val="0"/>
      <charset val="1"/>
    </font>
    <font>
      <b val="true"/>
      <sz val="8.5"/>
      <color rgb="FF1F2A44"/>
      <name val="Arial"/>
      <family val="0"/>
      <charset val="1"/>
    </font>
    <font>
      <sz val="7.5"/>
      <color rgb="FF555555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8"/>
      <color rgb="FF1F2A44"/>
      <name val="Arial"/>
      <family val="0"/>
      <charset val="1"/>
    </font>
    <font>
      <sz val="8.5"/>
      <name val="Arial"/>
      <family val="0"/>
      <charset val="1"/>
    </font>
    <font>
      <sz val="8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2"/>
      <color rgb="FF1F2A44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1F2A4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2E3D5C"/>
      </patternFill>
    </fill>
    <fill>
      <patternFill patternType="solid">
        <fgColor rgb="FF2E3D5C"/>
        <bgColor rgb="FF404040"/>
      </patternFill>
    </fill>
    <fill>
      <patternFill patternType="solid">
        <fgColor rgb="FFFFF7D6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D9DDE3"/>
        <bgColor rgb="FFD9D9D9"/>
      </patternFill>
    </fill>
    <fill>
      <patternFill patternType="solid">
        <fgColor rgb="FFE4E9F2"/>
        <bgColor rgb="FFE7E7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AC4"/>
      </left>
      <right/>
      <top style="thin">
        <color rgb="FFB4BAC4"/>
      </top>
      <bottom style="thin">
        <color rgb="FFB4BAC4"/>
      </bottom>
      <diagonal/>
    </border>
    <border diagonalUp="false" diagonalDown="false">
      <left style="thin">
        <color rgb="FFB4BAC4"/>
      </left>
      <right style="thin">
        <color rgb="FFB4BAC4"/>
      </right>
      <top style="thin">
        <color rgb="FFB4BAC4"/>
      </top>
      <bottom style="thin">
        <color rgb="FFB4BA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666666"/>
      </font>
      <fill>
        <patternFill>
          <bgColor rgb="FFD9DDE3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  <sz val="14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00B050"/>
        </patternFill>
      </fill>
    </dxf>
    <dxf>
      <font>
        <name val="Arial"/>
        <charset val="1"/>
        <family val="0"/>
        <color rgb="FFA0A0A0"/>
      </font>
      <fill>
        <patternFill>
          <bgColor rgb="FFE7E7E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BAC4"/>
      <rgbColor rgb="FF808080"/>
      <rgbColor rgb="FFA6A6A6"/>
      <rgbColor rgb="FF993366"/>
      <rgbColor rgb="FFFFF7D6"/>
      <rgbColor rgb="FFE4E9F2"/>
      <rgbColor rgb="FF660066"/>
      <rgbColor rgb="FFFF8080"/>
      <rgbColor rgb="FF2F5597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6EFCE"/>
      <rgbColor rgb="FFFFEB9C"/>
      <rgbColor rgb="FFD9D9D9"/>
      <rgbColor rgb="FFE7E7E7"/>
      <rgbColor rgb="FFCC99FF"/>
      <rgbColor rgb="FFFFC7CE"/>
      <rgbColor rgb="FF3366FF"/>
      <rgbColor rgb="FF33CCCC"/>
      <rgbColor rgb="FF99CC00"/>
      <rgbColor rgb="FFFFC000"/>
      <rgbColor rgb="FFBF9000"/>
      <rgbColor rgb="FFFF6600"/>
      <rgbColor rgb="FF666666"/>
      <rgbColor rgb="FFA0A0A0"/>
      <rgbColor rgb="FF1F2A44"/>
      <rgbColor rgb="FF00B050"/>
      <rgbColor rgb="FF003300"/>
      <rgbColor rgb="FF555555"/>
      <rgbColor rgb="FF9C5700"/>
      <rgbColor rgb="FF993366"/>
      <rgbColor rgb="FF2E3D5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"Ala columna"</c:f>
              <c:strCache>
                <c:ptCount val="1"/>
                <c:pt idx="0">
                  <c:v>Ala columna</c:v>
                </c:pt>
              </c:strCache>
            </c:strRef>
          </c:tx>
          <c:spPr>
            <a:solidFill>
              <a:srgbClr val="a6a6a6"/>
            </a:solidFill>
            <a:ln w="1908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DIBUJO!$D$4:$D$8</c:f>
              <c:numCache>
                <c:formatCode>General</c:formatCode>
                <c:ptCount val="5"/>
                <c:pt idx="0">
                  <c:v>-0.952380952380952</c:v>
                </c:pt>
                <c:pt idx="1">
                  <c:v>-0.952380952380952</c:v>
                </c:pt>
                <c:pt idx="2">
                  <c:v>-0.900432900432901</c:v>
                </c:pt>
                <c:pt idx="3">
                  <c:v>-0.900432900432901</c:v>
                </c:pt>
                <c:pt idx="4">
                  <c:v>-0.952380952380952</c:v>
                </c:pt>
              </c:numCache>
            </c:numRef>
          </c:xVal>
          <c:yVal>
            <c:numRef>
              <c:f>DIBUJO!$E$4:$E$8</c:f>
              <c:numCache>
                <c:formatCode>General</c:formatCode>
                <c:ptCount val="5"/>
                <c:pt idx="0">
                  <c:v>-0.432900432900433</c:v>
                </c:pt>
                <c:pt idx="1">
                  <c:v>0.432900432900433</c:v>
                </c:pt>
                <c:pt idx="2">
                  <c:v>0.432900432900433</c:v>
                </c:pt>
                <c:pt idx="3">
                  <c:v>-0.432900432900433</c:v>
                </c:pt>
                <c:pt idx="4">
                  <c:v>-0.432900432900433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"Ala viga"</c:f>
              <c:strCache>
                <c:ptCount val="1"/>
                <c:pt idx="0">
                  <c:v>Ala viga</c:v>
                </c:pt>
              </c:strCache>
            </c:strRef>
          </c:tx>
          <c:spPr>
            <a:solidFill>
              <a:srgbClr val="1f2a44"/>
            </a:solidFill>
            <a:ln w="1584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DIBUJO!$G$4:$G$7</c:f>
              <c:numCache>
                <c:formatCode>General</c:formatCode>
                <c:ptCount val="4"/>
                <c:pt idx="0">
                  <c:v>0.952380952380952</c:v>
                </c:pt>
                <c:pt idx="1">
                  <c:v>-0.848484848484849</c:v>
                </c:pt>
                <c:pt idx="2">
                  <c:v>-0.848484848484849</c:v>
                </c:pt>
                <c:pt idx="3">
                  <c:v>0.952380952380952</c:v>
                </c:pt>
              </c:numCache>
            </c:numRef>
          </c:xVal>
          <c:yVal>
            <c:numRef>
              <c:f>DIBUJO!$H$4:$H$7</c:f>
              <c:numCache>
                <c:formatCode>General</c:formatCode>
                <c:ptCount val="4"/>
                <c:pt idx="0">
                  <c:v>0.311688311688312</c:v>
                </c:pt>
                <c:pt idx="1">
                  <c:v>0.311688311688312</c:v>
                </c:pt>
                <c:pt idx="2">
                  <c:v>-0.311688311688312</c:v>
                </c:pt>
                <c:pt idx="3">
                  <c:v>-0.311688311688312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"Placa"</c:f>
              <c:strCache>
                <c:ptCount val="1"/>
                <c:pt idx="0">
                  <c:v>Placa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DIBUJO!$J$4:$J$8</c:f>
              <c:numCache>
                <c:formatCode>General</c:formatCode>
                <c:ptCount val="5"/>
                <c:pt idx="0">
                  <c:v>-0.900432900432901</c:v>
                </c:pt>
                <c:pt idx="1">
                  <c:v>-0.900432900432901</c:v>
                </c:pt>
                <c:pt idx="2">
                  <c:v>0.277056277056277</c:v>
                </c:pt>
                <c:pt idx="3">
                  <c:v>0.277056277056277</c:v>
                </c:pt>
                <c:pt idx="4">
                  <c:v>-0.900432900432901</c:v>
                </c:pt>
              </c:numCache>
            </c:numRef>
          </c:xVal>
          <c:yVal>
            <c:numRef>
              <c:f>DIBUJO!$K$4:$K$8</c:f>
              <c:numCache>
                <c:formatCode>General</c:formatCode>
                <c:ptCount val="5"/>
                <c:pt idx="0">
                  <c:v>-0.346320346320346</c:v>
                </c:pt>
                <c:pt idx="1">
                  <c:v>0.346320346320346</c:v>
                </c:pt>
                <c:pt idx="2">
                  <c:v>0.346320346320346</c:v>
                </c:pt>
                <c:pt idx="3">
                  <c:v>-0.346320346320346</c:v>
                </c:pt>
                <c:pt idx="4">
                  <c:v>-0.346320346320346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"Rótula"</c:f>
              <c:strCache>
                <c:ptCount val="1"/>
                <c:pt idx="0">
                  <c:v>Rótula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DIBUJO!$M$4:$M$5</c:f>
              <c:numCache>
                <c:formatCode>General</c:formatCode>
                <c:ptCount val="2"/>
                <c:pt idx="0">
                  <c:v>0.121212121212121</c:v>
                </c:pt>
                <c:pt idx="1">
                  <c:v>0.121212121212121</c:v>
                </c:pt>
              </c:numCache>
            </c:numRef>
          </c:xVal>
          <c:yVal>
            <c:numRef>
              <c:f>DIBUJO!$N$4:$N$5</c:f>
              <c:numCache>
                <c:formatCode>General</c:formatCode>
                <c:ptCount val="2"/>
                <c:pt idx="0">
                  <c:v>-0.45021645021645</c:v>
                </c:pt>
                <c:pt idx="1">
                  <c:v>0.45021645021645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"Pernos"</c:f>
              <c:strCache>
                <c:ptCount val="1"/>
                <c:pt idx="0">
                  <c:v>Pernos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DIBUJO!$P$4:$P$23</c:f>
              <c:numCache>
                <c:formatCode>General</c:formatCode>
                <c:ptCount val="20"/>
                <c:pt idx="0">
                  <c:v>-0.658008658008658</c:v>
                </c:pt>
                <c:pt idx="1">
                  <c:v>-0.658008658008658</c:v>
                </c:pt>
                <c:pt idx="2">
                  <c:v>-0.398268398268398</c:v>
                </c:pt>
                <c:pt idx="3">
                  <c:v>-0.398268398268398</c:v>
                </c:pt>
                <c:pt idx="4">
                  <c:v>-0.138528138528139</c:v>
                </c:pt>
                <c:pt idx="5">
                  <c:v>-0.138528138528139</c:v>
                </c:pt>
                <c:pt idx="6">
                  <c:v>0.121212121212121</c:v>
                </c:pt>
                <c:pt idx="7">
                  <c:v>0.121212121212121</c:v>
                </c:pt>
                <c:pt idx="8">
                  <c:v>0.121212121212121</c:v>
                </c:pt>
                <c:pt idx="9">
                  <c:v>0.121212121212121</c:v>
                </c:pt>
                <c:pt idx="10">
                  <c:v>0.121212121212121</c:v>
                </c:pt>
                <c:pt idx="11">
                  <c:v>0.121212121212121</c:v>
                </c:pt>
                <c:pt idx="12">
                  <c:v>0.121212121212121</c:v>
                </c:pt>
                <c:pt idx="13">
                  <c:v>0.121212121212121</c:v>
                </c:pt>
                <c:pt idx="14">
                  <c:v>0.121212121212121</c:v>
                </c:pt>
                <c:pt idx="15">
                  <c:v>0.121212121212121</c:v>
                </c:pt>
                <c:pt idx="16">
                  <c:v>0.121212121212121</c:v>
                </c:pt>
                <c:pt idx="17">
                  <c:v>0.121212121212121</c:v>
                </c:pt>
                <c:pt idx="18">
                  <c:v>0.121212121212121</c:v>
                </c:pt>
                <c:pt idx="19">
                  <c:v>0.121212121212121</c:v>
                </c:pt>
              </c:numCache>
            </c:numRef>
          </c:xVal>
          <c:yVal>
            <c:numRef>
              <c:f>DIBUJO!$Q$4:$Q$23</c:f>
              <c:numCache>
                <c:formatCode>General</c:formatCode>
                <c:ptCount val="20"/>
                <c:pt idx="0">
                  <c:v>-0.19047619047619</c:v>
                </c:pt>
                <c:pt idx="1">
                  <c:v>0.19047619047619</c:v>
                </c:pt>
                <c:pt idx="2">
                  <c:v>-0.19047619047619</c:v>
                </c:pt>
                <c:pt idx="3">
                  <c:v>0.19047619047619</c:v>
                </c:pt>
                <c:pt idx="4">
                  <c:v>-0.19047619047619</c:v>
                </c:pt>
                <c:pt idx="5">
                  <c:v>0.19047619047619</c:v>
                </c:pt>
                <c:pt idx="6">
                  <c:v>-0.19047619047619</c:v>
                </c:pt>
                <c:pt idx="7">
                  <c:v>0.19047619047619</c:v>
                </c:pt>
                <c:pt idx="8">
                  <c:v>-0.19047619047619</c:v>
                </c:pt>
                <c:pt idx="9">
                  <c:v>0.19047619047619</c:v>
                </c:pt>
                <c:pt idx="10">
                  <c:v>-0.19047619047619</c:v>
                </c:pt>
                <c:pt idx="11">
                  <c:v>0.19047619047619</c:v>
                </c:pt>
                <c:pt idx="12">
                  <c:v>-0.19047619047619</c:v>
                </c:pt>
                <c:pt idx="13">
                  <c:v>0.19047619047619</c:v>
                </c:pt>
                <c:pt idx="14">
                  <c:v>-0.19047619047619</c:v>
                </c:pt>
                <c:pt idx="15">
                  <c:v>0.19047619047619</c:v>
                </c:pt>
                <c:pt idx="16">
                  <c:v>-0.19047619047619</c:v>
                </c:pt>
                <c:pt idx="17">
                  <c:v>0.19047619047619</c:v>
                </c:pt>
                <c:pt idx="18">
                  <c:v>-0.19047619047619</c:v>
                </c:pt>
                <c:pt idx="19">
                  <c:v>0.19047619047619</c:v>
                </c:pt>
              </c:numCache>
            </c:numRef>
          </c:yVal>
          <c:smooth val="0"/>
        </c:ser>
        <c:axId val="95614021"/>
        <c:axId val="86584397"/>
      </c:scatterChart>
      <c:valAx>
        <c:axId val="95614021"/>
        <c:scaling>
          <c:orientation val="minMax"/>
          <c:max val="1"/>
          <c:min val="-1"/>
        </c:scaling>
        <c:delete val="0"/>
        <c:axPos val="b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84397"/>
        <c:crosses val="autoZero"/>
        <c:crossBetween val="midCat"/>
      </c:valAx>
      <c:valAx>
        <c:axId val="86584397"/>
        <c:scaling>
          <c:orientation val="minMax"/>
          <c:max val="1"/>
          <c:min val="-1"/>
        </c:scaling>
        <c:delete val="0"/>
        <c:axPos val="l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1402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"Columna"</c:f>
              <c:strCache>
                <c:ptCount val="1"/>
                <c:pt idx="0">
                  <c:v>Columna</c:v>
                </c:pt>
              </c:strCache>
            </c:strRef>
          </c:tx>
          <c:spPr>
            <a:solidFill>
              <a:srgbClr val="a6a6a6"/>
            </a:solidFill>
            <a:ln w="1584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DIBUJO!$S$4:$S$8</c:f>
              <c:numCache>
                <c:formatCode>General</c:formatCode>
                <c:ptCount val="5"/>
                <c:pt idx="0">
                  <c:v>-0.952380952380952</c:v>
                </c:pt>
                <c:pt idx="1">
                  <c:v>-0.952380952380952</c:v>
                </c:pt>
                <c:pt idx="2">
                  <c:v>-0.0322061191626409</c:v>
                </c:pt>
                <c:pt idx="3">
                  <c:v>-0.0322061191626409</c:v>
                </c:pt>
                <c:pt idx="4">
                  <c:v>-0.952380952380952</c:v>
                </c:pt>
              </c:numCache>
            </c:numRef>
          </c:xVal>
          <c:yVal>
            <c:numRef>
              <c:f>DIBUJO!$T$4:$T$8</c:f>
              <c:numCache>
                <c:formatCode>General</c:formatCode>
                <c:ptCount val="5"/>
                <c:pt idx="0">
                  <c:v>-0.634920634920635</c:v>
                </c:pt>
                <c:pt idx="1">
                  <c:v>0.634920634920635</c:v>
                </c:pt>
                <c:pt idx="2">
                  <c:v>0.634920634920635</c:v>
                </c:pt>
                <c:pt idx="3">
                  <c:v>-0.634920634920635</c:v>
                </c:pt>
                <c:pt idx="4">
                  <c:v>-0.634920634920635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"Ala int."</c:f>
              <c:strCache>
                <c:ptCount val="1"/>
                <c:pt idx="0">
                  <c:v>Ala int.</c:v>
                </c:pt>
              </c:strCache>
            </c:strRef>
          </c:tx>
          <c:spPr>
            <a:solidFill>
              <a:srgbClr val="a6a6a6"/>
            </a:solidFill>
            <a:ln w="93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DIBUJO!$V$4:$V$5</c:f>
              <c:numCache>
                <c:formatCode>General</c:formatCode>
                <c:ptCount val="2"/>
                <c:pt idx="0">
                  <c:v>-0.0598113641591902</c:v>
                </c:pt>
                <c:pt idx="1">
                  <c:v>-0.0598113641591902</c:v>
                </c:pt>
              </c:numCache>
            </c:numRef>
          </c:xVal>
          <c:yVal>
            <c:numRef>
              <c:f>DIBUJO!$W$4:$W$5</c:f>
              <c:numCache>
                <c:formatCode>General</c:formatCode>
                <c:ptCount val="2"/>
                <c:pt idx="0">
                  <c:v>-0.634920634920635</c:v>
                </c:pt>
                <c:pt idx="1">
                  <c:v>0.634920634920635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"Ala ext."</c:f>
              <c:strCache>
                <c:ptCount val="1"/>
                <c:pt idx="0">
                  <c:v>Ala ext.</c:v>
                </c:pt>
              </c:strCache>
            </c:strRef>
          </c:tx>
          <c:spPr>
            <a:solidFill>
              <a:srgbClr val="a6a6a6"/>
            </a:solidFill>
            <a:ln w="93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DIBUJO!$Y$4:$Y$5</c:f>
              <c:numCache>
                <c:formatCode>General</c:formatCode>
                <c:ptCount val="2"/>
                <c:pt idx="0">
                  <c:v>-0.924775707384403</c:v>
                </c:pt>
                <c:pt idx="1">
                  <c:v>-0.924775707384403</c:v>
                </c:pt>
              </c:numCache>
            </c:numRef>
          </c:xVal>
          <c:yVal>
            <c:numRef>
              <c:f>DIBUJO!$Z$4:$Z$5</c:f>
              <c:numCache>
                <c:formatCode>General</c:formatCode>
                <c:ptCount val="2"/>
                <c:pt idx="0">
                  <c:v>-0.634920634920635</c:v>
                </c:pt>
                <c:pt idx="1">
                  <c:v>0.634920634920635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"Cont. sup"</c:f>
              <c:strCache>
                <c:ptCount val="1"/>
                <c:pt idx="0">
                  <c:v>Cont. sup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DIBUJO!$AB$4:$AB$5</c:f>
              <c:numCache>
                <c:formatCode>General</c:formatCode>
                <c:ptCount val="2"/>
                <c:pt idx="0">
                  <c:v>-0.924775707384403</c:v>
                </c:pt>
                <c:pt idx="1">
                  <c:v>-0.0598113641591902</c:v>
                </c:pt>
              </c:numCache>
            </c:numRef>
          </c:xVal>
          <c:yVal>
            <c:numRef>
              <c:f>DIBUJO!$AC$4:$AC$5</c:f>
              <c:numCache>
                <c:formatCode>General</c:formatCode>
                <c:ptCount val="2"/>
                <c:pt idx="0">
                  <c:v>0.391074304117782</c:v>
                </c:pt>
                <c:pt idx="1">
                  <c:v>0.391074304117782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"Cont. inf"</c:f>
              <c:strCache>
                <c:ptCount val="1"/>
                <c:pt idx="0">
                  <c:v>Cont. inf</c:v>
                </c:pt>
              </c:strCache>
            </c:strRef>
          </c:tx>
          <c:spPr>
            <a:solidFill>
              <a:srgbClr val="bf9000"/>
            </a:solidFill>
            <a:ln w="1908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DIBUJO!$AE$4:$AE$5</c:f>
              <c:numCache>
                <c:formatCode>General</c:formatCode>
                <c:ptCount val="2"/>
                <c:pt idx="0">
                  <c:v>-0.924775707384403</c:v>
                </c:pt>
                <c:pt idx="1">
                  <c:v>-0.0598113641591902</c:v>
                </c:pt>
              </c:numCache>
            </c:numRef>
          </c:xVal>
          <c:yVal>
            <c:numRef>
              <c:f>DIBUJO!$AF$4:$AF$5</c:f>
              <c:numCache>
                <c:formatCode>General</c:formatCode>
                <c:ptCount val="2"/>
                <c:pt idx="0">
                  <c:v>-0.391074304117782</c:v>
                </c:pt>
                <c:pt idx="1">
                  <c:v>-0.391074304117782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"Ala sup"</c:f>
              <c:strCache>
                <c:ptCount val="1"/>
                <c:pt idx="0">
                  <c:v>Ala sup</c:v>
                </c:pt>
              </c:strCache>
            </c:strRef>
          </c:tx>
          <c:spPr>
            <a:solidFill>
              <a:srgbClr val="1f2a44"/>
            </a:solidFill>
            <a:ln w="1584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DIBUJO!$AH$4:$AH$8</c:f>
              <c:numCache>
                <c:formatCode>General</c:formatCode>
                <c:ptCount val="5"/>
                <c:pt idx="0">
                  <c:v>-0.00460087416609156</c:v>
                </c:pt>
                <c:pt idx="1">
                  <c:v>-0.00460087416609156</c:v>
                </c:pt>
                <c:pt idx="2">
                  <c:v>0.952380952380952</c:v>
                </c:pt>
                <c:pt idx="3">
                  <c:v>0.952380952380952</c:v>
                </c:pt>
                <c:pt idx="4">
                  <c:v>-0.00460087416609156</c:v>
                </c:pt>
              </c:numCache>
            </c:numRef>
          </c:xVal>
          <c:yVal>
            <c:numRef>
              <c:f>DIBUJO!$AI$4:$AI$8</c:f>
              <c:numCache>
                <c:formatCode>General</c:formatCode>
                <c:ptCount val="5"/>
                <c:pt idx="0">
                  <c:v>0.345985737290085</c:v>
                </c:pt>
                <c:pt idx="1">
                  <c:v>0.368069933287325</c:v>
                </c:pt>
                <c:pt idx="2">
                  <c:v>0.368069933287325</c:v>
                </c:pt>
                <c:pt idx="3">
                  <c:v>0.345985737290085</c:v>
                </c:pt>
                <c:pt idx="4">
                  <c:v>0.345985737290085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"Ala inf"</c:f>
              <c:strCache>
                <c:ptCount val="1"/>
                <c:pt idx="0">
                  <c:v>Ala inf</c:v>
                </c:pt>
              </c:strCache>
            </c:strRef>
          </c:tx>
          <c:spPr>
            <a:solidFill>
              <a:srgbClr val="1f2a44"/>
            </a:solidFill>
            <a:ln w="1584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DIBUJO!$AK$4:$AK$8</c:f>
              <c:numCache>
                <c:formatCode>General</c:formatCode>
                <c:ptCount val="5"/>
                <c:pt idx="0">
                  <c:v>-0.00460087416609156</c:v>
                </c:pt>
                <c:pt idx="1">
                  <c:v>-0.00460087416609156</c:v>
                </c:pt>
                <c:pt idx="2">
                  <c:v>0.952380952380952</c:v>
                </c:pt>
                <c:pt idx="3">
                  <c:v>0.952380952380952</c:v>
                </c:pt>
                <c:pt idx="4">
                  <c:v>-0.00460087416609156</c:v>
                </c:pt>
              </c:numCache>
            </c:numRef>
          </c:xVal>
          <c:yVal>
            <c:numRef>
              <c:f>DIBUJO!$AL$4:$AL$8</c:f>
              <c:numCache>
                <c:formatCode>General</c:formatCode>
                <c:ptCount val="5"/>
                <c:pt idx="0">
                  <c:v>-0.368069933287325</c:v>
                </c:pt>
                <c:pt idx="1">
                  <c:v>-0.345985737290085</c:v>
                </c:pt>
                <c:pt idx="2">
                  <c:v>-0.345985737290085</c:v>
                </c:pt>
                <c:pt idx="3">
                  <c:v>-0.368069933287325</c:v>
                </c:pt>
                <c:pt idx="4">
                  <c:v>-0.368069933287325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"Placa sup"</c:f>
              <c:strCache>
                <c:ptCount val="1"/>
                <c:pt idx="0">
                  <c:v>Placa sup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DIBUJO!$AN$4:$AN$8</c:f>
              <c:numCache>
                <c:formatCode>General</c:formatCode>
                <c:ptCount val="5"/>
                <c:pt idx="0">
                  <c:v>-0.0322061191626409</c:v>
                </c:pt>
                <c:pt idx="1">
                  <c:v>-0.0322061191626409</c:v>
                </c:pt>
                <c:pt idx="2">
                  <c:v>0.593512767425811</c:v>
                </c:pt>
                <c:pt idx="3">
                  <c:v>0.593512767425811</c:v>
                </c:pt>
                <c:pt idx="4">
                  <c:v>-0.0322061191626409</c:v>
                </c:pt>
              </c:numCache>
            </c:numRef>
          </c:xVal>
          <c:yVal>
            <c:numRef>
              <c:f>DIBUJO!$AO$4:$AO$8</c:f>
              <c:numCache>
                <c:formatCode>General</c:formatCode>
                <c:ptCount val="5"/>
                <c:pt idx="0">
                  <c:v>0.368069933287325</c:v>
                </c:pt>
                <c:pt idx="1">
                  <c:v>0.41407867494824</c:v>
                </c:pt>
                <c:pt idx="2">
                  <c:v>0.41407867494824</c:v>
                </c:pt>
                <c:pt idx="3">
                  <c:v>0.368069933287325</c:v>
                </c:pt>
                <c:pt idx="4">
                  <c:v>0.368069933287325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"Placa inf"</c:f>
              <c:strCache>
                <c:ptCount val="1"/>
                <c:pt idx="0">
                  <c:v>Placa inf</c:v>
                </c:pt>
              </c:strCache>
            </c:strRef>
          </c:tx>
          <c:spPr>
            <a:solidFill>
              <a:srgbClr val="2f5597"/>
            </a:solidFill>
            <a:ln w="2556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DIBUJO!$AQ$4:$AQ$8</c:f>
              <c:numCache>
                <c:formatCode>General</c:formatCode>
                <c:ptCount val="5"/>
                <c:pt idx="0">
                  <c:v>-0.0322061191626409</c:v>
                </c:pt>
                <c:pt idx="1">
                  <c:v>-0.0322061191626409</c:v>
                </c:pt>
                <c:pt idx="2">
                  <c:v>0.593512767425811</c:v>
                </c:pt>
                <c:pt idx="3">
                  <c:v>0.593512767425811</c:v>
                </c:pt>
                <c:pt idx="4">
                  <c:v>-0.0322061191626409</c:v>
                </c:pt>
              </c:numCache>
            </c:numRef>
          </c:xVal>
          <c:yVal>
            <c:numRef>
              <c:f>DIBUJO!$AR$4:$AR$8</c:f>
              <c:numCache>
                <c:formatCode>General</c:formatCode>
                <c:ptCount val="5"/>
                <c:pt idx="0">
                  <c:v>-0.41407867494824</c:v>
                </c:pt>
                <c:pt idx="1">
                  <c:v>-0.368069933287325</c:v>
                </c:pt>
                <c:pt idx="2">
                  <c:v>-0.368069933287325</c:v>
                </c:pt>
                <c:pt idx="3">
                  <c:v>-0.41407867494824</c:v>
                </c:pt>
                <c:pt idx="4">
                  <c:v>-0.41407867494824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"Placa alma"</c:f>
              <c:strCache>
                <c:ptCount val="1"/>
                <c:pt idx="0">
                  <c:v>Placa alma</c:v>
                </c:pt>
              </c:strCache>
            </c:strRef>
          </c:tx>
          <c:spPr>
            <a:solidFill>
              <a:srgbClr val="bf9000"/>
            </a:solidFill>
            <a:ln w="1584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DIBUJO!$AT$4:$AT$8</c:f>
              <c:numCache>
                <c:formatCode>General</c:formatCode>
                <c:ptCount val="5"/>
                <c:pt idx="0">
                  <c:v>-0.0322061191626409</c:v>
                </c:pt>
                <c:pt idx="1">
                  <c:v>-0.0322061191626409</c:v>
                </c:pt>
                <c:pt idx="2">
                  <c:v>0.142627099148838</c:v>
                </c:pt>
                <c:pt idx="3">
                  <c:v>0.142627099148838</c:v>
                </c:pt>
                <c:pt idx="4">
                  <c:v>-0.0322061191626409</c:v>
                </c:pt>
              </c:numCache>
            </c:numRef>
          </c:xVal>
          <c:yVal>
            <c:numRef>
              <c:f>DIBUJO!$AU$4:$AU$8</c:f>
              <c:numCache>
                <c:formatCode>General</c:formatCode>
                <c:ptCount val="5"/>
                <c:pt idx="0">
                  <c:v>-0.280653324131585</c:v>
                </c:pt>
                <c:pt idx="1">
                  <c:v>0.280653324131585</c:v>
                </c:pt>
                <c:pt idx="2">
                  <c:v>0.280653324131585</c:v>
                </c:pt>
                <c:pt idx="3">
                  <c:v>-0.280653324131585</c:v>
                </c:pt>
                <c:pt idx="4">
                  <c:v>-0.280653324131585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"Rótula"</c:f>
              <c:strCache>
                <c:ptCount val="1"/>
                <c:pt idx="0">
                  <c:v>Rótula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DIBUJO!$AW$4:$AW$5</c:f>
              <c:numCache>
                <c:formatCode>General</c:formatCode>
                <c:ptCount val="2"/>
                <c:pt idx="0">
                  <c:v>0.510697032436163</c:v>
                </c:pt>
                <c:pt idx="1">
                  <c:v>0.510697032436163</c:v>
                </c:pt>
              </c:numCache>
            </c:numRef>
          </c:xVal>
          <c:yVal>
            <c:numRef>
              <c:f>DIBUJO!$AX$4:$AX$5</c:f>
              <c:numCache>
                <c:formatCode>General</c:formatCode>
                <c:ptCount val="2"/>
                <c:pt idx="0">
                  <c:v>-0.469289164941339</c:v>
                </c:pt>
                <c:pt idx="1">
                  <c:v>0.469289164941339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"Pernos ala"</c:f>
              <c:strCache>
                <c:ptCount val="1"/>
                <c:pt idx="0">
                  <c:v>Pernos ala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dash"/>
            <c:size val="9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DIBUJO!$AZ$4:$AZ$23</c:f>
              <c:numCache>
                <c:formatCode>General</c:formatCode>
                <c:ptCount val="20"/>
                <c:pt idx="0">
                  <c:v>0.0966183574879227</c:v>
                </c:pt>
                <c:pt idx="1">
                  <c:v>0.0966183574879227</c:v>
                </c:pt>
                <c:pt idx="2">
                  <c:v>0.234644582470669</c:v>
                </c:pt>
                <c:pt idx="3">
                  <c:v>0.234644582470669</c:v>
                </c:pt>
                <c:pt idx="4">
                  <c:v>0.372670807453416</c:v>
                </c:pt>
                <c:pt idx="5">
                  <c:v>0.372670807453416</c:v>
                </c:pt>
                <c:pt idx="6">
                  <c:v>0.510697032436163</c:v>
                </c:pt>
                <c:pt idx="7">
                  <c:v>0.510697032436163</c:v>
                </c:pt>
                <c:pt idx="8">
                  <c:v>0.510697032436163</c:v>
                </c:pt>
                <c:pt idx="9">
                  <c:v>0.510697032436163</c:v>
                </c:pt>
                <c:pt idx="10">
                  <c:v>0.510697032436163</c:v>
                </c:pt>
                <c:pt idx="11">
                  <c:v>0.510697032436163</c:v>
                </c:pt>
                <c:pt idx="12">
                  <c:v>0.510697032436163</c:v>
                </c:pt>
                <c:pt idx="13">
                  <c:v>0.510697032436163</c:v>
                </c:pt>
                <c:pt idx="14">
                  <c:v>0.510697032436163</c:v>
                </c:pt>
                <c:pt idx="15">
                  <c:v>0.510697032436163</c:v>
                </c:pt>
                <c:pt idx="16">
                  <c:v>0.510697032436163</c:v>
                </c:pt>
                <c:pt idx="17">
                  <c:v>0.510697032436163</c:v>
                </c:pt>
                <c:pt idx="18">
                  <c:v>0.510697032436163</c:v>
                </c:pt>
                <c:pt idx="19">
                  <c:v>0.510697032436163</c:v>
                </c:pt>
              </c:numCache>
            </c:numRef>
          </c:xVal>
          <c:yVal>
            <c:numRef>
              <c:f>DIBUJO!$BA$4:$BA$23</c:f>
              <c:numCache>
                <c:formatCode>General</c:formatCode>
                <c:ptCount val="20"/>
                <c:pt idx="0">
                  <c:v>0.380032206119163</c:v>
                </c:pt>
                <c:pt idx="1">
                  <c:v>-0.380032206119163</c:v>
                </c:pt>
                <c:pt idx="2">
                  <c:v>0.380032206119163</c:v>
                </c:pt>
                <c:pt idx="3">
                  <c:v>-0.380032206119163</c:v>
                </c:pt>
                <c:pt idx="4">
                  <c:v>0.380032206119163</c:v>
                </c:pt>
                <c:pt idx="5">
                  <c:v>-0.380032206119163</c:v>
                </c:pt>
                <c:pt idx="6">
                  <c:v>0.380032206119163</c:v>
                </c:pt>
                <c:pt idx="7">
                  <c:v>-0.380032206119163</c:v>
                </c:pt>
                <c:pt idx="8">
                  <c:v>0.380032206119163</c:v>
                </c:pt>
                <c:pt idx="9">
                  <c:v>-0.380032206119163</c:v>
                </c:pt>
                <c:pt idx="10">
                  <c:v>0.380032206119163</c:v>
                </c:pt>
                <c:pt idx="11">
                  <c:v>-0.380032206119163</c:v>
                </c:pt>
                <c:pt idx="12">
                  <c:v>0.380032206119163</c:v>
                </c:pt>
                <c:pt idx="13">
                  <c:v>-0.380032206119163</c:v>
                </c:pt>
                <c:pt idx="14">
                  <c:v>0.380032206119163</c:v>
                </c:pt>
                <c:pt idx="15">
                  <c:v>-0.380032206119163</c:v>
                </c:pt>
                <c:pt idx="16">
                  <c:v>0.380032206119163</c:v>
                </c:pt>
                <c:pt idx="17">
                  <c:v>-0.380032206119163</c:v>
                </c:pt>
                <c:pt idx="18">
                  <c:v>0.380032206119163</c:v>
                </c:pt>
                <c:pt idx="19">
                  <c:v>-0.380032206119163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"Pernos alma"</c:f>
              <c:strCache>
                <c:ptCount val="1"/>
                <c:pt idx="0">
                  <c:v>Pernos alma</c:v>
                </c:pt>
              </c:strCache>
            </c:strRef>
          </c:tx>
          <c:spPr>
            <a:solidFill>
              <a:srgbClr val="404040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4040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DIBUJO!$BC$4:$BC$11</c:f>
              <c:numCache>
                <c:formatCode>General</c:formatCode>
                <c:ptCount val="8"/>
                <c:pt idx="0">
                  <c:v>0.0690131124913734</c:v>
                </c:pt>
                <c:pt idx="1">
                  <c:v>0.0690131124913734</c:v>
                </c:pt>
                <c:pt idx="2">
                  <c:v>0.0690131124913734</c:v>
                </c:pt>
                <c:pt idx="3">
                  <c:v>0.0690131124913734</c:v>
                </c:pt>
                <c:pt idx="4">
                  <c:v>0.0690131124913734</c:v>
                </c:pt>
                <c:pt idx="5">
                  <c:v>0.0690131124913734</c:v>
                </c:pt>
                <c:pt idx="6">
                  <c:v>0.0690131124913734</c:v>
                </c:pt>
                <c:pt idx="7">
                  <c:v>0.0690131124913734</c:v>
                </c:pt>
              </c:numCache>
            </c:numRef>
          </c:xVal>
          <c:yVal>
            <c:numRef>
              <c:f>DIBUJO!$BD$4:$BD$11</c:f>
              <c:numCache>
                <c:formatCode>General</c:formatCode>
                <c:ptCount val="8"/>
                <c:pt idx="0">
                  <c:v>-0.20703933747412</c:v>
                </c:pt>
                <c:pt idx="1">
                  <c:v>-0.0690131124913734</c:v>
                </c:pt>
                <c:pt idx="2">
                  <c:v>0.0690131124913734</c:v>
                </c:pt>
                <c:pt idx="3">
                  <c:v>0.20703933747412</c:v>
                </c:pt>
                <c:pt idx="4">
                  <c:v>0.20703933747412</c:v>
                </c:pt>
                <c:pt idx="5">
                  <c:v>0.20703933747412</c:v>
                </c:pt>
                <c:pt idx="6">
                  <c:v>0.20703933747412</c:v>
                </c:pt>
                <c:pt idx="7">
                  <c:v>0.20703933747412</c:v>
                </c:pt>
              </c:numCache>
            </c:numRef>
          </c:yVal>
          <c:smooth val="0"/>
        </c:ser>
        <c:axId val="78397198"/>
        <c:axId val="37770275"/>
      </c:scatterChart>
      <c:valAx>
        <c:axId val="78397198"/>
        <c:scaling>
          <c:orientation val="minMax"/>
          <c:max val="1"/>
          <c:min val="-1"/>
        </c:scaling>
        <c:delete val="0"/>
        <c:axPos val="b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70275"/>
        <c:crosses val="autoZero"/>
        <c:crossBetween val="midCat"/>
      </c:valAx>
      <c:valAx>
        <c:axId val="37770275"/>
        <c:scaling>
          <c:orientation val="minMax"/>
          <c:max val="1"/>
          <c:min val="-1"/>
        </c:scaling>
        <c:delete val="0"/>
        <c:axPos val="l"/>
        <c:numFmt formatCode=";;;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9719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0</xdr:rowOff>
    </xdr:from>
    <xdr:to>
      <xdr:col>8</xdr:col>
      <xdr:colOff>402120</xdr:colOff>
      <xdr:row>17</xdr:row>
      <xdr:rowOff>165600</xdr:rowOff>
    </xdr:to>
    <xdr:graphicFrame>
      <xdr:nvGraphicFramePr>
        <xdr:cNvPr id="0" name="Chart 1"/>
        <xdr:cNvGraphicFramePr/>
      </xdr:nvGraphicFramePr>
      <xdr:xfrm>
        <a:off x="4899600" y="1276200"/>
        <a:ext cx="23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49680</xdr:colOff>
      <xdr:row>17</xdr:row>
      <xdr:rowOff>165600</xdr:rowOff>
    </xdr:to>
    <xdr:graphicFrame>
      <xdr:nvGraphicFramePr>
        <xdr:cNvPr id="1" name="Chart 2"/>
        <xdr:cNvGraphicFramePr/>
      </xdr:nvGraphicFramePr>
      <xdr:xfrm>
        <a:off x="7648560" y="1276200"/>
        <a:ext cx="2375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T62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0.51"/>
    <col collapsed="false" customWidth="true" hidden="false" outlineLevel="0" max="6" min="6" style="0" width="1.51"/>
    <col collapsed="false" customWidth="true" hidden="false" outlineLevel="0" max="7" min="7" style="0" width="17"/>
    <col collapsed="false" customWidth="true" hidden="false" outlineLevel="0" max="12" min="8" style="0" width="11"/>
    <col collapsed="false" customWidth="true" hidden="false" outlineLevel="0" max="13" min="13" style="0" width="1.51"/>
    <col collapsed="false" customWidth="true" hidden="false" outlineLevel="0" max="14" min="14" style="0" width="38"/>
    <col collapsed="false" customWidth="true" hidden="false" outlineLevel="0" max="15" min="15" style="0" width="18"/>
    <col collapsed="false" customWidth="true" hidden="false" outlineLevel="0" max="17" min="16" style="0" width="10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2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false" outlineLevel="0" collapsed="false">
      <c r="B4" s="3" t="s">
        <v>2</v>
      </c>
      <c r="C4" s="4" t="s">
        <v>3</v>
      </c>
      <c r="D4" s="3" t="s">
        <v>4</v>
      </c>
      <c r="E4" s="5" t="s">
        <v>3</v>
      </c>
      <c r="G4" s="3" t="s">
        <v>5</v>
      </c>
    </row>
    <row r="6" customFormat="false" ht="15" hidden="false" customHeight="false" outlineLevel="0" collapsed="false">
      <c r="B6" s="2" t="s">
        <v>6</v>
      </c>
      <c r="C6" s="2"/>
      <c r="D6" s="2"/>
      <c r="E6" s="2"/>
      <c r="G6" s="6" t="s">
        <v>7</v>
      </c>
      <c r="H6" s="6"/>
      <c r="I6" s="6"/>
      <c r="J6" s="6" t="s">
        <v>8</v>
      </c>
      <c r="K6" s="6"/>
      <c r="L6" s="6"/>
      <c r="N6" s="2" t="s">
        <v>9</v>
      </c>
      <c r="O6" s="2"/>
      <c r="P6" s="2"/>
      <c r="Q6" s="2"/>
      <c r="R6" s="2"/>
      <c r="S6" s="2"/>
      <c r="T6" s="2"/>
    </row>
    <row r="7" customFormat="false" ht="15" hidden="false" customHeight="false" outlineLevel="0" collapsed="false">
      <c r="B7" s="7" t="s">
        <v>10</v>
      </c>
      <c r="C7" s="8" t="s">
        <v>11</v>
      </c>
      <c r="D7" s="8"/>
      <c r="E7" s="8"/>
      <c r="N7" s="9" t="str">
        <f aca="false">IF(MAX(R12:R55)&gt;1,"✖  NO CUMPLE — ratio máx. "&amp;TEXT(MAX(R12:R55),"0.00"),IF(MAX(R12:R55)&gt;lim_verde,"▲  CUMPLE AL LÍMITE — ratio máx. "&amp;TEXT(MAX(R12:R55),"0.00"),"✔  CUMPLE — ratio máx. "&amp;TEXT(MAX(R12:R55),"0.00")))</f>
        <v>▲  CUMPLE AL LÍMITE — ratio máx. 0.95</v>
      </c>
      <c r="O7" s="9"/>
      <c r="P7" s="9"/>
      <c r="Q7" s="9"/>
      <c r="R7" s="9"/>
      <c r="S7" s="9"/>
      <c r="T7" s="9"/>
    </row>
    <row r="8" customFormat="false" ht="15" hidden="false" customHeight="false" outlineLevel="0" collapsed="false">
      <c r="B8" s="7" t="s">
        <v>12</v>
      </c>
      <c r="C8" s="8" t="s">
        <v>13</v>
      </c>
      <c r="D8" s="8"/>
      <c r="E8" s="8"/>
      <c r="N8" s="9"/>
      <c r="O8" s="9"/>
      <c r="P8" s="9"/>
      <c r="Q8" s="9"/>
      <c r="R8" s="9"/>
      <c r="S8" s="9"/>
      <c r="T8" s="9"/>
    </row>
    <row r="9" customFormat="false" ht="15" hidden="false" customHeight="false" outlineLevel="0" collapsed="false">
      <c r="B9" s="7" t="s">
        <v>14</v>
      </c>
      <c r="C9" s="10" t="n">
        <v>0.9</v>
      </c>
      <c r="D9" s="11"/>
    </row>
    <row r="10" customFormat="false" ht="24" hidden="false" customHeight="true" outlineLevel="0" collapsed="false">
      <c r="B10" s="7" t="s">
        <v>15</v>
      </c>
      <c r="C10" s="12" t="s">
        <v>16</v>
      </c>
      <c r="D10" s="12"/>
      <c r="N10" s="13" t="s">
        <v>17</v>
      </c>
      <c r="O10" s="13" t="s">
        <v>18</v>
      </c>
      <c r="P10" s="13" t="s">
        <v>19</v>
      </c>
      <c r="Q10" s="13" t="s">
        <v>20</v>
      </c>
      <c r="R10" s="13" t="s">
        <v>21</v>
      </c>
      <c r="S10" s="13" t="s">
        <v>22</v>
      </c>
      <c r="T10" s="13" t="s">
        <v>23</v>
      </c>
    </row>
    <row r="11" customFormat="false" ht="15" hidden="false" customHeight="false" outlineLevel="0" collapsed="false">
      <c r="B11" s="2" t="s">
        <v>24</v>
      </c>
      <c r="C11" s="2"/>
      <c r="D11" s="2"/>
      <c r="E11" s="2"/>
      <c r="N11" s="14" t="s">
        <v>25</v>
      </c>
      <c r="O11" s="14"/>
      <c r="P11" s="14"/>
      <c r="Q11" s="14"/>
      <c r="R11" s="14"/>
      <c r="S11" s="14"/>
      <c r="T11" s="14"/>
    </row>
    <row r="12" customFormat="false" ht="15" hidden="false" customHeight="false" outlineLevel="0" collapsed="false">
      <c r="B12" s="7" t="s">
        <v>26</v>
      </c>
      <c r="C12" s="12" t="s">
        <v>27</v>
      </c>
      <c r="D12" s="12"/>
      <c r="E12" s="3" t="s">
        <v>28</v>
      </c>
      <c r="N12" s="15" t="s">
        <v>29</v>
      </c>
      <c r="O12" s="16" t="s">
        <v>30</v>
      </c>
      <c r="P12" s="17" t="n">
        <f aca="false">vg_d_mm</f>
        <v>400</v>
      </c>
      <c r="Q12" s="17" t="n">
        <f aca="false">914</f>
        <v>914</v>
      </c>
      <c r="R12" s="18" t="n">
        <f aca="false">(vg_d_mm)/MAX(914,0.000000001)</f>
        <v>0.437636761487965</v>
      </c>
      <c r="S12" s="19" t="s">
        <v>31</v>
      </c>
      <c r="T12" s="20" t="str">
        <f aca="false">IF(ISNUMBER(R12),IF(R12&gt;1,"NO CUMPLE",IF(R12&gt;lim_verde,"AL LÍMITE","CUMPLE")),"N/A")</f>
        <v>CUMPLE</v>
      </c>
    </row>
    <row r="13" customFormat="false" ht="15" hidden="false" customHeight="false" outlineLevel="0" collapsed="false">
      <c r="B13" s="7" t="s">
        <v>32</v>
      </c>
      <c r="C13" s="21" t="n">
        <f aca="false">IF(vg_perfil="ARMADO (flejes soldados)",E13,INDEX(CATALOGOS!$B$5:$B$40,MATCH(vg_perfil,CATALOGOS!$A$5:$A$40,0)))</f>
        <v>400</v>
      </c>
      <c r="D13" s="11" t="s">
        <v>31</v>
      </c>
      <c r="E13" s="12" t="n">
        <v>400</v>
      </c>
      <c r="N13" s="15" t="s">
        <v>33</v>
      </c>
      <c r="O13" s="16" t="s">
        <v>34</v>
      </c>
      <c r="P13" s="22" t="n">
        <f aca="false">b_w</f>
        <v>51.6216</v>
      </c>
      <c r="Q13" s="22" t="n">
        <f aca="false">223</f>
        <v>223</v>
      </c>
      <c r="R13" s="18" t="n">
        <f aca="false">(b_w)/MAX(223,0.000000001)</f>
        <v>0.231486995515695</v>
      </c>
      <c r="S13" s="19" t="s">
        <v>35</v>
      </c>
      <c r="T13" s="20" t="str">
        <f aca="false">IF(ISNUMBER(R13),IF(R13&gt;1,"NO CUMPLE",IF(R13&gt;lim_verde,"AL LÍMITE","CUMPLE")),"N/A")</f>
        <v>CUMPLE</v>
      </c>
    </row>
    <row r="14" customFormat="false" ht="15" hidden="false" customHeight="false" outlineLevel="0" collapsed="false">
      <c r="B14" s="7" t="s">
        <v>36</v>
      </c>
      <c r="C14" s="21" t="n">
        <f aca="false">IF(vg_perfil="ARMADO (flejes soldados)",E14,INDEX(CATALOGOS!$C$5:$C$40,MATCH(vg_perfil,CATALOGOS!$A$5:$A$40,0)))</f>
        <v>180</v>
      </c>
      <c r="D14" s="11" t="s">
        <v>31</v>
      </c>
      <c r="E14" s="12" t="n">
        <v>180</v>
      </c>
      <c r="N14" s="15" t="s">
        <v>37</v>
      </c>
      <c r="O14" s="16" t="s">
        <v>38</v>
      </c>
      <c r="P14" s="22" t="n">
        <f aca="false">vg_tf_mm</f>
        <v>12</v>
      </c>
      <c r="Q14" s="22" t="n">
        <f aca="false">25.4</f>
        <v>25.4</v>
      </c>
      <c r="R14" s="18" t="n">
        <f aca="false">(vg_tf_mm)/MAX(25.4,0.000000001)</f>
        <v>0.47244094488189</v>
      </c>
      <c r="S14" s="19" t="s">
        <v>31</v>
      </c>
      <c r="T14" s="20" t="str">
        <f aca="false">IF(ISNUMBER(R14),IF(R14&gt;1,"NO CUMPLE",IF(R14&gt;lim_verde,"AL LÍMITE","CUMPLE")),"N/A")</f>
        <v>CUMPLE</v>
      </c>
    </row>
    <row r="15" customFormat="false" ht="15" hidden="false" customHeight="false" outlineLevel="0" collapsed="false">
      <c r="B15" s="7" t="s">
        <v>39</v>
      </c>
      <c r="C15" s="21" t="n">
        <f aca="false">IF(vg_perfil="ARMADO (flejes soldados)",E15,INDEX(CATALOGOS!$D$5:$D$40,MATCH(vg_perfil,CATALOGOS!$A$5:$A$40,0)))</f>
        <v>6</v>
      </c>
      <c r="D15" s="11" t="s">
        <v>31</v>
      </c>
      <c r="E15" s="12" t="n">
        <v>6</v>
      </c>
      <c r="N15" s="15" t="s">
        <v>40</v>
      </c>
      <c r="O15" s="16" t="s">
        <v>41</v>
      </c>
      <c r="P15" s="22" t="n">
        <f aca="false">q_Lreq</f>
        <v>7</v>
      </c>
      <c r="Q15" s="22" t="n">
        <f aca="false">q_Lcl</f>
        <v>18.75</v>
      </c>
      <c r="R15" s="18" t="n">
        <f aca="false">(q_Lreq)/MAX(q_Lcl,0.000000001)</f>
        <v>0.373333333333333</v>
      </c>
      <c r="S15" s="19" t="s">
        <v>42</v>
      </c>
      <c r="T15" s="20" t="str">
        <f aca="false">IF(ISNUMBER(R15),IF(R15&gt;1,"NO CUMPLE",IF(R15&gt;lim_verde,"AL LÍMITE","CUMPLE")),"N/A")</f>
        <v>CUMPLE</v>
      </c>
    </row>
    <row r="16" customFormat="false" ht="15" hidden="false" customHeight="false" outlineLevel="0" collapsed="false">
      <c r="B16" s="7" t="s">
        <v>43</v>
      </c>
      <c r="C16" s="21" t="n">
        <f aca="false">IF(vg_perfil="ARMADO (flejes soldados)",E16,INDEX(CATALOGOS!$E$5:$E$40,MATCH(vg_perfil,CATALOGOS!$A$5:$A$40,0)))</f>
        <v>12</v>
      </c>
      <c r="D16" s="11" t="s">
        <v>31</v>
      </c>
      <c r="E16" s="12" t="n">
        <v>12</v>
      </c>
      <c r="N16" s="15" t="s">
        <v>44</v>
      </c>
      <c r="O16" s="16" t="s">
        <v>45</v>
      </c>
      <c r="P16" s="22" t="n">
        <f aca="false">a_dbi*25.4</f>
        <v>22.225</v>
      </c>
      <c r="Q16" s="22" t="n">
        <f aca="false">28.575</f>
        <v>28.575</v>
      </c>
      <c r="R16" s="18" t="n">
        <f aca="false">(a_dbi*25.4)/MAX(28.575,0.000000001)</f>
        <v>0.777777777777778</v>
      </c>
      <c r="S16" s="19" t="s">
        <v>31</v>
      </c>
      <c r="T16" s="20" t="str">
        <f aca="false">IF(ISNUMBER(R16),IF(R16&gt;1,"NO CUMPLE",IF(R16&gt;lim_verde,"AL LÍMITE","CUMPLE")),"N/A")</f>
        <v>CUMPLE</v>
      </c>
    </row>
    <row r="17" customFormat="false" ht="15" hidden="false" customHeight="false" outlineLevel="0" collapsed="false">
      <c r="B17" s="7" t="s">
        <v>46</v>
      </c>
      <c r="C17" s="12" t="s">
        <v>47</v>
      </c>
      <c r="D17" s="12"/>
      <c r="N17" s="15" t="s">
        <v>48</v>
      </c>
      <c r="O17" s="16" t="s">
        <v>49</v>
      </c>
      <c r="P17" s="17" t="n">
        <f aca="false">1</f>
        <v>1</v>
      </c>
      <c r="Q17" s="17" t="n">
        <f aca="false">q_pn</f>
        <v>1</v>
      </c>
      <c r="R17" s="18" t="n">
        <f aca="false">IF(q_pn=1,0,1.5)</f>
        <v>0</v>
      </c>
      <c r="S17" s="19" t="s">
        <v>42</v>
      </c>
      <c r="T17" s="20" t="str">
        <f aca="false">IF(ISNUMBER(R17),IF(R17&gt;1,"NO CUMPLE",IF(R17&gt;lim_verde,"AL LÍMITE","CUMPLE")),"N/A")</f>
        <v>CUMPLE</v>
      </c>
    </row>
    <row r="18" customFormat="false" ht="15" hidden="false" customHeight="false" outlineLevel="0" collapsed="false">
      <c r="B18" s="7" t="s">
        <v>50</v>
      </c>
      <c r="C18" s="23" t="n">
        <f aca="false">INDEX(CATALOGOS!$N$5:$N$12,MATCH(vg_acero,CATALOGOS!$M$5:$M$12,0))</f>
        <v>3515</v>
      </c>
      <c r="D18" s="11" t="s">
        <v>51</v>
      </c>
      <c r="E18" s="24" t="n">
        <f aca="false">INDEX(CATALOGOS!$O$5:$O$12,MATCH(vg_acero,CATALOGOS!$M$5:$M$12,0))</f>
        <v>4570</v>
      </c>
      <c r="N18" s="15" t="s">
        <v>52</v>
      </c>
      <c r="O18" s="16" t="s">
        <v>53</v>
      </c>
      <c r="P18" s="25" t="n">
        <f aca="false">q_bb</f>
        <v>7.5</v>
      </c>
      <c r="Q18" s="25" t="n">
        <f aca="false">q_bbl</f>
        <v>9.18789593899783</v>
      </c>
      <c r="R18" s="18" t="n">
        <f aca="false">(q_bb)/MAX(q_bbl,0.000000001)</f>
        <v>0.816291352208987</v>
      </c>
      <c r="S18" s="19" t="s">
        <v>42</v>
      </c>
      <c r="T18" s="20" t="str">
        <f aca="false">IF(ISNUMBER(R18),IF(R18&gt;1,"NO CUMPLE",IF(R18&gt;lim_verde,"AL LÍMITE","CUMPLE")),"N/A")</f>
        <v>CUMPLE</v>
      </c>
    </row>
    <row r="19" customFormat="false" ht="15" hidden="false" customHeight="false" outlineLevel="0" collapsed="false">
      <c r="B19" s="7" t="s">
        <v>54</v>
      </c>
      <c r="C19" s="26" t="n">
        <f aca="false">INDEX(CATALOGOS!$P$5:$P$12,MATCH(vg_acero,CATALOGOS!$M$5:$M$12,0))</f>
        <v>1.1</v>
      </c>
      <c r="D19" s="11"/>
      <c r="E19" s="26" t="n">
        <f aca="false">INDEX(CATALOGOS!$Q$5:$Q$12,MATCH(vg_acero,CATALOGOS!$M$5:$M$12,0))</f>
        <v>1.2</v>
      </c>
      <c r="N19" s="15" t="s">
        <v>55</v>
      </c>
      <c r="O19" s="16" t="s">
        <v>53</v>
      </c>
      <c r="P19" s="25" t="n">
        <f aca="false">q_bw</f>
        <v>62.6666666666667</v>
      </c>
      <c r="Q19" s="25" t="n">
        <f aca="false">q_bwl</f>
        <v>90.9601697960785</v>
      </c>
      <c r="R19" s="18" t="n">
        <f aca="false">(q_bw)/MAX(q_bwl,0.000000001)</f>
        <v>0.688946236656743</v>
      </c>
      <c r="S19" s="19" t="s">
        <v>42</v>
      </c>
      <c r="T19" s="20" t="str">
        <f aca="false">IF(ISNUMBER(R19),IF(R19&gt;1,"NO CUMPLE",IF(R19&gt;lim_verde,"AL LÍMITE","CUMPLE")),"N/A")</f>
        <v>CUMPLE</v>
      </c>
    </row>
    <row r="20" customFormat="false" ht="15" hidden="false" customHeight="false" outlineLevel="0" collapsed="false">
      <c r="B20" s="7" t="s">
        <v>56</v>
      </c>
      <c r="C20" s="10" t="n">
        <v>8</v>
      </c>
      <c r="D20" s="11" t="s">
        <v>57</v>
      </c>
      <c r="N20" s="15" t="s">
        <v>58</v>
      </c>
      <c r="O20" s="16" t="s">
        <v>53</v>
      </c>
      <c r="P20" s="25" t="n">
        <f aca="false">q_cb</f>
        <v>8.33333333333333</v>
      </c>
      <c r="Q20" s="25" t="n">
        <f aca="false">q_cbl</f>
        <v>9.18789593899783</v>
      </c>
      <c r="R20" s="18" t="n">
        <f aca="false">(q_cb)/MAX(q_cbl,0.000000001)</f>
        <v>0.906990391343319</v>
      </c>
      <c r="S20" s="19" t="s">
        <v>42</v>
      </c>
      <c r="T20" s="20" t="str">
        <f aca="false">IF(ISNUMBER(R20),IF(R20&gt;1,"NO CUMPLE",IF(R20&gt;lim_verde,"AL LÍMITE","CUMPLE")),"N/A")</f>
        <v>AL LÍMITE</v>
      </c>
    </row>
    <row r="21" customFormat="false" ht="15" hidden="false" customHeight="false" outlineLevel="0" collapsed="false">
      <c r="B21" s="7" t="s">
        <v>59</v>
      </c>
      <c r="C21" s="10" t="n">
        <v>3</v>
      </c>
      <c r="D21" s="11" t="s">
        <v>60</v>
      </c>
      <c r="G21" s="2" t="s">
        <v>61</v>
      </c>
      <c r="H21" s="2"/>
      <c r="I21" s="2"/>
      <c r="J21" s="2"/>
      <c r="K21" s="2"/>
      <c r="L21" s="2"/>
      <c r="N21" s="15" t="s">
        <v>62</v>
      </c>
      <c r="O21" s="16" t="s">
        <v>53</v>
      </c>
      <c r="P21" s="25" t="n">
        <f aca="false">q_cw</f>
        <v>47</v>
      </c>
      <c r="Q21" s="25" t="n">
        <f aca="false">q_cwl</f>
        <v>76.6307973081422</v>
      </c>
      <c r="R21" s="18" t="n">
        <f aca="false">(q_cw)/MAX(q_cwl,0.000000001)</f>
        <v>0.613330431771538</v>
      </c>
      <c r="S21" s="19" t="s">
        <v>42</v>
      </c>
      <c r="T21" s="20" t="str">
        <f aca="false">IF(ISNUMBER(R21),IF(R21&gt;1,"NO CUMPLE",IF(R21&gt;lim_verde,"AL LÍMITE","CUMPLE")),"N/A")</f>
        <v>CUMPLE</v>
      </c>
    </row>
    <row r="22" customFormat="false" ht="15" hidden="false" customHeight="false" outlineLevel="0" collapsed="false">
      <c r="B22" s="2" t="s">
        <v>63</v>
      </c>
      <c r="C22" s="2"/>
      <c r="D22" s="2"/>
      <c r="E22" s="2"/>
      <c r="G22" s="27" t="s">
        <v>64</v>
      </c>
      <c r="H22" s="28" t="s">
        <v>65</v>
      </c>
      <c r="I22" s="28"/>
      <c r="J22" s="28"/>
      <c r="K22" s="29" t="n">
        <f aca="false">s_Cpr</f>
        <v>1.15007112375533</v>
      </c>
      <c r="L22" s="11"/>
      <c r="N22" s="14" t="s">
        <v>66</v>
      </c>
      <c r="O22" s="14"/>
      <c r="P22" s="14"/>
      <c r="Q22" s="14"/>
      <c r="R22" s="14"/>
      <c r="S22" s="14"/>
      <c r="T22" s="14"/>
    </row>
    <row r="23" customFormat="false" ht="15" hidden="false" customHeight="false" outlineLevel="0" collapsed="false">
      <c r="B23" s="7" t="s">
        <v>26</v>
      </c>
      <c r="C23" s="12" t="s">
        <v>67</v>
      </c>
      <c r="D23" s="12"/>
      <c r="E23" s="3" t="s">
        <v>28</v>
      </c>
      <c r="G23" s="27" t="s">
        <v>64</v>
      </c>
      <c r="H23" s="28" t="s">
        <v>68</v>
      </c>
      <c r="I23" s="28"/>
      <c r="J23" s="28"/>
      <c r="K23" s="29" t="n">
        <f aca="false">s_Mpr/100000</f>
        <v>46.69727832</v>
      </c>
      <c r="L23" s="11" t="s">
        <v>69</v>
      </c>
      <c r="N23" s="15" t="s">
        <v>70</v>
      </c>
      <c r="O23" s="16" t="s">
        <v>71</v>
      </c>
      <c r="P23" s="22" t="n">
        <f aca="false">a_db*10</f>
        <v>22.225</v>
      </c>
      <c r="Q23" s="22" t="n">
        <f aca="false">s_dbmax*10</f>
        <v>23.3704048140044</v>
      </c>
      <c r="R23" s="18" t="n">
        <f aca="false">(a_db*10)/MAX(s_dbmax*10,0.000000001)</f>
        <v>0.950989089700406</v>
      </c>
      <c r="S23" s="19" t="s">
        <v>31</v>
      </c>
      <c r="T23" s="20" t="str">
        <f aca="false">IF(ISNUMBER(R23),IF(R23&gt;1,"NO CUMPLE",IF(R23&gt;lim_verde,"AL LÍMITE","CUMPLE")),"N/A")</f>
        <v>AL LÍMITE</v>
      </c>
    </row>
    <row r="24" customFormat="false" ht="15" hidden="false" customHeight="false" outlineLevel="0" collapsed="false">
      <c r="B24" s="7" t="s">
        <v>32</v>
      </c>
      <c r="C24" s="21" t="n">
        <f aca="false">IF(co_perfil="ARMADO (flejes soldados)",E24,INDEX(CATALOGOS!$H$5:$H$40,MATCH(co_perfil,CATALOGOS!$G$5:$G$40,0)))</f>
        <v>500</v>
      </c>
      <c r="D24" s="11" t="s">
        <v>31</v>
      </c>
      <c r="E24" s="12" t="n">
        <v>500</v>
      </c>
      <c r="G24" s="27" t="s">
        <v>71</v>
      </c>
      <c r="H24" s="28" t="s">
        <v>72</v>
      </c>
      <c r="I24" s="28"/>
      <c r="J24" s="28"/>
      <c r="K24" s="30" t="n">
        <f aca="false">s_dbmax*10</f>
        <v>23.3704048140044</v>
      </c>
      <c r="L24" s="11" t="s">
        <v>31</v>
      </c>
      <c r="N24" s="15" t="s">
        <v>73</v>
      </c>
      <c r="O24" s="16" t="s">
        <v>74</v>
      </c>
      <c r="P24" s="25" t="n">
        <f aca="false">s_n5</f>
        <v>6.66044550566466</v>
      </c>
      <c r="Q24" s="25" t="n">
        <f aca="false">n_b</f>
        <v>8</v>
      </c>
      <c r="R24" s="18" t="n">
        <f aca="false">(s_n5)/MAX(n_b,0.000000001)</f>
        <v>0.832555688208082</v>
      </c>
      <c r="S24" s="19" t="s">
        <v>75</v>
      </c>
      <c r="T24" s="20" t="str">
        <f aca="false">IF(ISNUMBER(R24),IF(R24&gt;1,"NO CUMPLE",IF(R24&gt;lim_verde,"AL LÍMITE","CUMPLE")),"N/A")</f>
        <v>CUMPLE</v>
      </c>
    </row>
    <row r="25" customFormat="false" ht="15" hidden="false" customHeight="false" outlineLevel="0" collapsed="false">
      <c r="B25" s="7" t="s">
        <v>36</v>
      </c>
      <c r="C25" s="21" t="n">
        <f aca="false">IF(co_perfil="ARMADO (flejes soldados)",E25,INDEX(CATALOGOS!$I$5:$I$40,MATCH(co_perfil,CATALOGOS!$G$5:$G$40,0)))</f>
        <v>250</v>
      </c>
      <c r="D25" s="11" t="s">
        <v>31</v>
      </c>
      <c r="E25" s="12" t="n">
        <v>250</v>
      </c>
      <c r="G25" s="27" t="s">
        <v>76</v>
      </c>
      <c r="H25" s="28" t="s">
        <v>77</v>
      </c>
      <c r="I25" s="28"/>
      <c r="J25" s="28"/>
      <c r="K25" s="29" t="n">
        <f aca="false">s_rn/1000</f>
        <v>22.9122037821783</v>
      </c>
      <c r="L25" s="11" t="s">
        <v>60</v>
      </c>
      <c r="N25" s="15" t="s">
        <v>78</v>
      </c>
      <c r="O25" s="16" t="s">
        <v>79</v>
      </c>
      <c r="P25" s="25" t="n">
        <f aca="false">s_Ff/1000</f>
        <v>121.339895258364</v>
      </c>
      <c r="Q25" s="25" t="n">
        <f aca="false">0.9*n_b*s_rn/1000</f>
        <v>164.967867231684</v>
      </c>
      <c r="R25" s="18" t="n">
        <f aca="false">(s_Ff/1000)/MAX(0.9*n_b*s_rn/1000,0.000000001)</f>
        <v>0.735536545962323</v>
      </c>
      <c r="S25" s="19" t="s">
        <v>60</v>
      </c>
      <c r="T25" s="20" t="str">
        <f aca="false">IF(ISNUMBER(R25),IF(R25&gt;1,"NO CUMPLE",IF(R25&gt;lim_verde,"AL LÍMITE","CUMPLE")),"N/A")</f>
        <v>CUMPLE</v>
      </c>
    </row>
    <row r="26" customFormat="false" ht="15" hidden="false" customHeight="false" outlineLevel="0" collapsed="false">
      <c r="B26" s="7" t="s">
        <v>39</v>
      </c>
      <c r="C26" s="21" t="n">
        <f aca="false">IF(co_perfil="ARMADO (flejes soldados)",E26,INDEX(CATALOGOS!$J$5:$J$40,MATCH(co_perfil,CATALOGOS!$G$5:$G$40,0)))</f>
        <v>10</v>
      </c>
      <c r="D26" s="11" t="s">
        <v>31</v>
      </c>
      <c r="E26" s="12" t="n">
        <v>10</v>
      </c>
      <c r="G26" s="27" t="s">
        <v>74</v>
      </c>
      <c r="H26" s="28" t="s">
        <v>80</v>
      </c>
      <c r="I26" s="28"/>
      <c r="J26" s="28"/>
      <c r="K26" s="29" t="n">
        <f aca="false">s_n5</f>
        <v>6.66044550566466</v>
      </c>
      <c r="L26" s="11" t="s">
        <v>75</v>
      </c>
      <c r="N26" s="15" t="s">
        <v>81</v>
      </c>
      <c r="O26" s="16" t="s">
        <v>82</v>
      </c>
      <c r="P26" s="25" t="n">
        <f aca="false">s_Ff/1000</f>
        <v>121.339895258364</v>
      </c>
      <c r="Q26" s="25" t="n">
        <f aca="false">r_ty/1000</f>
        <v>175.75</v>
      </c>
      <c r="R26" s="18" t="n">
        <f aca="false">(s_Ff/1000)/MAX(r_ty/1000,0.000000001)</f>
        <v>0.690411921811459</v>
      </c>
      <c r="S26" s="19" t="s">
        <v>60</v>
      </c>
      <c r="T26" s="20" t="str">
        <f aca="false">IF(ISNUMBER(R26),IF(R26&gt;1,"NO CUMPLE",IF(R26&gt;lim_verde,"AL LÍMITE","CUMPLE")),"N/A")</f>
        <v>CUMPLE</v>
      </c>
    </row>
    <row r="27" customFormat="false" ht="15" hidden="false" customHeight="false" outlineLevel="0" collapsed="false">
      <c r="B27" s="7" t="s">
        <v>43</v>
      </c>
      <c r="C27" s="21" t="n">
        <f aca="false">IF(co_perfil="ARMADO (flejes soldados)",E27,INDEX(CATALOGOS!$K$5:$K$40,MATCH(co_perfil,CATALOGOS!$G$5:$G$40,0)))</f>
        <v>15</v>
      </c>
      <c r="D27" s="11" t="s">
        <v>31</v>
      </c>
      <c r="E27" s="12" t="n">
        <v>15</v>
      </c>
      <c r="G27" s="27" t="s">
        <v>83</v>
      </c>
      <c r="H27" s="28" t="s">
        <v>84</v>
      </c>
      <c r="I27" s="28"/>
      <c r="J27" s="28"/>
      <c r="K27" s="30" t="n">
        <f aca="false">s_Sh</f>
        <v>29.5</v>
      </c>
      <c r="L27" s="11" t="s">
        <v>85</v>
      </c>
      <c r="N27" s="15" t="s">
        <v>86</v>
      </c>
      <c r="O27" s="16" t="s">
        <v>87</v>
      </c>
      <c r="P27" s="25" t="n">
        <f aca="false">s_Ff/1000</f>
        <v>121.339895258364</v>
      </c>
      <c r="Q27" s="25" t="n">
        <f aca="false">r_tr/1000</f>
        <v>153.4149</v>
      </c>
      <c r="R27" s="18" t="n">
        <f aca="false">(s_Ff/1000)/MAX(r_tr/1000,0.000000001)</f>
        <v>0.790926404530224</v>
      </c>
      <c r="S27" s="19" t="s">
        <v>60</v>
      </c>
      <c r="T27" s="20" t="str">
        <f aca="false">IF(ISNUMBER(R27),IF(R27&gt;1,"NO CUMPLE",IF(R27&gt;lim_verde,"AL LÍMITE","CUMPLE")),"N/A")</f>
        <v>CUMPLE</v>
      </c>
    </row>
    <row r="28" customFormat="false" ht="15" hidden="false" customHeight="false" outlineLevel="0" collapsed="false">
      <c r="B28" s="7" t="s">
        <v>46</v>
      </c>
      <c r="C28" s="12" t="s">
        <v>47</v>
      </c>
      <c r="D28" s="12"/>
      <c r="G28" s="27" t="s">
        <v>88</v>
      </c>
      <c r="H28" s="28" t="s">
        <v>89</v>
      </c>
      <c r="I28" s="28"/>
      <c r="J28" s="28"/>
      <c r="K28" s="30" t="n">
        <f aca="false">s_Lh</f>
        <v>691</v>
      </c>
      <c r="L28" s="11" t="s">
        <v>85</v>
      </c>
      <c r="N28" s="15" t="s">
        <v>90</v>
      </c>
      <c r="O28" s="16" t="s">
        <v>91</v>
      </c>
      <c r="P28" s="25" t="n">
        <f aca="false">s_Ff/1000</f>
        <v>121.339895258364</v>
      </c>
      <c r="Q28" s="25" t="n">
        <f aca="false">r_bsp/1000</f>
        <v>289.88424</v>
      </c>
      <c r="R28" s="18" t="n">
        <f aca="false">(s_Ff/1000)/MAX(r_bsp/1000,0.000000001)</f>
        <v>0.418580517721018</v>
      </c>
      <c r="S28" s="19" t="s">
        <v>60</v>
      </c>
      <c r="T28" s="20" t="str">
        <f aca="false">IF(ISNUMBER(R28),IF(R28&gt;1,"NO CUMPLE",IF(R28&gt;lim_verde,"AL LÍMITE","CUMPLE")),"N/A")</f>
        <v>CUMPLE</v>
      </c>
    </row>
    <row r="29" customFormat="false" ht="15" hidden="false" customHeight="false" outlineLevel="0" collapsed="false">
      <c r="B29" s="7" t="s">
        <v>50</v>
      </c>
      <c r="C29" s="23" t="n">
        <f aca="false">INDEX(CATALOGOS!$N$5:$N$12,MATCH(co_acero,CATALOGOS!$M$5:$M$12,0))</f>
        <v>3515</v>
      </c>
      <c r="D29" s="11" t="s">
        <v>51</v>
      </c>
      <c r="E29" s="24" t="n">
        <f aca="false">INDEX(CATALOGOS!$O$5:$O$12,MATCH(co_acero,CATALOGOS!$M$5:$M$12,0))</f>
        <v>4570</v>
      </c>
      <c r="G29" s="27" t="s">
        <v>92</v>
      </c>
      <c r="H29" s="28" t="s">
        <v>93</v>
      </c>
      <c r="I29" s="28"/>
      <c r="J29" s="28"/>
      <c r="K29" s="29" t="n">
        <f aca="false">s_Vh/1000</f>
        <v>16.5158547959479</v>
      </c>
      <c r="L29" s="11" t="s">
        <v>60</v>
      </c>
      <c r="N29" s="15" t="s">
        <v>94</v>
      </c>
      <c r="O29" s="16" t="s">
        <v>91</v>
      </c>
      <c r="P29" s="25" t="n">
        <f aca="false">s_Ff/1000</f>
        <v>121.339895258364</v>
      </c>
      <c r="Q29" s="25" t="n">
        <f aca="false">r_bsb/1000</f>
        <v>135.1959552</v>
      </c>
      <c r="R29" s="18" t="n">
        <f aca="false">(s_Ff/1000)/MAX(r_bsb/1000,0.000000001)</f>
        <v>0.897511283372802</v>
      </c>
      <c r="S29" s="19" t="s">
        <v>60</v>
      </c>
      <c r="T29" s="20" t="str">
        <f aca="false">IF(ISNUMBER(R29),IF(R29&gt;1,"NO CUMPLE",IF(R29&gt;lim_verde,"AL LÍMITE","CUMPLE")),"N/A")</f>
        <v>CUMPLE</v>
      </c>
    </row>
    <row r="30" customFormat="false" ht="15" hidden="false" customHeight="false" outlineLevel="0" collapsed="false">
      <c r="B30" s="7" t="s">
        <v>54</v>
      </c>
      <c r="C30" s="26" t="n">
        <f aca="false">INDEX(CATALOGOS!$P$5:$P$12,MATCH(co_acero,CATALOGOS!$M$5:$M$12,0))</f>
        <v>1.1</v>
      </c>
      <c r="D30" s="11"/>
      <c r="E30" s="26" t="n">
        <f aca="false">INDEX(CATALOGOS!$Q$5:$Q$12,MATCH(co_acero,CATALOGOS!$M$5:$M$12,0))</f>
        <v>1.2</v>
      </c>
      <c r="G30" s="27" t="s">
        <v>95</v>
      </c>
      <c r="H30" s="28" t="s">
        <v>96</v>
      </c>
      <c r="I30" s="28"/>
      <c r="J30" s="28"/>
      <c r="K30" s="29" t="n">
        <f aca="false">s_Mf/100000</f>
        <v>51.5694554848046</v>
      </c>
      <c r="L30" s="11" t="s">
        <v>69</v>
      </c>
      <c r="N30" s="15" t="s">
        <v>97</v>
      </c>
      <c r="O30" s="16" t="s">
        <v>98</v>
      </c>
      <c r="P30" s="25" t="n">
        <f aca="false">s_Ff/1000</f>
        <v>121.339895258364</v>
      </c>
      <c r="Q30" s="25" t="n">
        <f aca="false">r_cb/1000</f>
        <v>158.175</v>
      </c>
      <c r="R30" s="18" t="n">
        <f aca="false">(s_Ff/1000)/MAX(r_cb/1000,0.000000001)</f>
        <v>0.767124357568287</v>
      </c>
      <c r="S30" s="19" t="s">
        <v>60</v>
      </c>
      <c r="T30" s="20" t="str">
        <f aca="false">IF(ISNUMBER(R30),IF(R30&gt;1,"NO CUMPLE",IF(R30&gt;lim_verde,"AL LÍMITE","CUMPLE")),"N/A")</f>
        <v>CUMPLE</v>
      </c>
    </row>
    <row r="31" customFormat="false" ht="15" hidden="false" customHeight="false" outlineLevel="0" collapsed="false">
      <c r="B31" s="7" t="s">
        <v>99</v>
      </c>
      <c r="C31" s="12" t="n">
        <v>6</v>
      </c>
      <c r="D31" s="11" t="s">
        <v>31</v>
      </c>
      <c r="G31" s="27" t="s">
        <v>100</v>
      </c>
      <c r="H31" s="28" t="s">
        <v>101</v>
      </c>
      <c r="I31" s="28"/>
      <c r="J31" s="28"/>
      <c r="K31" s="29" t="n">
        <f aca="false">s_Ff/1000</f>
        <v>121.339895258364</v>
      </c>
      <c r="L31" s="11" t="s">
        <v>60</v>
      </c>
      <c r="N31" s="15" t="s">
        <v>102</v>
      </c>
      <c r="O31" s="16" t="s">
        <v>103</v>
      </c>
      <c r="P31" s="25" t="n">
        <f aca="false">s_Ff/1000</f>
        <v>121.339895258364</v>
      </c>
      <c r="Q31" s="25" t="n">
        <f aca="false">r_tp/1000</f>
        <v>410.74988625</v>
      </c>
      <c r="R31" s="18" t="n">
        <f aca="false">(s_Ff/1000)/MAX(r_tp/1000,0.000000001)</f>
        <v>0.295410660648391</v>
      </c>
      <c r="S31" s="19" t="s">
        <v>60</v>
      </c>
      <c r="T31" s="20" t="str">
        <f aca="false">IF(ISNUMBER(R31),IF(R31&gt;1,"NO CUMPLE",IF(R31&gt;lim_verde,"AL LÍMITE","CUMPLE")),"N/A")</f>
        <v>CUMPLE</v>
      </c>
    </row>
    <row r="32" customFormat="false" ht="15" hidden="false" customHeight="false" outlineLevel="0" collapsed="false">
      <c r="B32" s="7" t="s">
        <v>104</v>
      </c>
      <c r="C32" s="12" t="n">
        <v>1000</v>
      </c>
      <c r="D32" s="11" t="s">
        <v>31</v>
      </c>
      <c r="G32" s="27" t="s">
        <v>105</v>
      </c>
      <c r="H32" s="28" t="s">
        <v>106</v>
      </c>
      <c r="I32" s="28"/>
      <c r="J32" s="28"/>
      <c r="K32" s="29" t="n">
        <f aca="false">s_n10</f>
        <v>5.88429236769858</v>
      </c>
      <c r="L32" s="11" t="s">
        <v>75</v>
      </c>
      <c r="N32" s="15" t="s">
        <v>107</v>
      </c>
      <c r="O32" s="16" t="s">
        <v>103</v>
      </c>
      <c r="P32" s="25" t="n">
        <f aca="false">s_Ff/1000</f>
        <v>121.339895258364</v>
      </c>
      <c r="Q32" s="25" t="n">
        <f aca="false">r_tb/1000</f>
        <v>209.0053854</v>
      </c>
      <c r="R32" s="18" t="n">
        <f aca="false">(s_Ff/1000)/MAX(r_tb/1000,0.000000001)</f>
        <v>0.580558701997752</v>
      </c>
      <c r="S32" s="19" t="s">
        <v>60</v>
      </c>
      <c r="T32" s="20" t="str">
        <f aca="false">IF(ISNUMBER(R32),IF(R32&gt;1,"NO CUMPLE",IF(R32&gt;lim_verde,"AL LÍMITE","CUMPLE")),"N/A")</f>
        <v>CUMPLE</v>
      </c>
    </row>
    <row r="33" customFormat="false" ht="15" hidden="false" customHeight="false" outlineLevel="0" collapsed="false">
      <c r="B33" s="7" t="s">
        <v>108</v>
      </c>
      <c r="C33" s="12" t="s">
        <v>109</v>
      </c>
      <c r="D33" s="11"/>
      <c r="G33" s="27" t="s">
        <v>110</v>
      </c>
      <c r="H33" s="28" t="s">
        <v>111</v>
      </c>
      <c r="I33" s="28"/>
      <c r="J33" s="28"/>
      <c r="K33" s="30" t="n">
        <f aca="false">s_PZ</f>
        <v>69.5</v>
      </c>
      <c r="L33" s="11" t="s">
        <v>85</v>
      </c>
      <c r="N33" s="14" t="s">
        <v>112</v>
      </c>
      <c r="O33" s="14"/>
      <c r="P33" s="14"/>
      <c r="Q33" s="14"/>
      <c r="R33" s="14"/>
      <c r="S33" s="14"/>
      <c r="T33" s="14"/>
    </row>
    <row r="34" customFormat="false" ht="15" hidden="false" customHeight="false" outlineLevel="0" collapsed="false">
      <c r="B34" s="7" t="s">
        <v>113</v>
      </c>
      <c r="C34" s="10" t="n">
        <v>20</v>
      </c>
      <c r="D34" s="11" t="s">
        <v>60</v>
      </c>
      <c r="G34" s="27" t="s">
        <v>88</v>
      </c>
      <c r="H34" s="28" t="s">
        <v>114</v>
      </c>
      <c r="I34" s="28"/>
      <c r="J34" s="28"/>
      <c r="K34" s="30" t="n">
        <f aca="false">p_Lp</f>
        <v>34</v>
      </c>
      <c r="L34" s="11" t="s">
        <v>85</v>
      </c>
      <c r="N34" s="15" t="s">
        <v>115</v>
      </c>
      <c r="O34" s="16" t="s">
        <v>116</v>
      </c>
      <c r="P34" s="25" t="n">
        <f aca="false">s_Vu/1000</f>
        <v>16.5158547959479</v>
      </c>
      <c r="Q34" s="25" t="n">
        <f aca="false">w_Rb/1000</f>
        <v>32.4669650309977</v>
      </c>
      <c r="R34" s="18" t="n">
        <f aca="false">(s_Vu/1000)/MAX(w_Rb/1000,0.000000001)</f>
        <v>0.508697218239507</v>
      </c>
      <c r="S34" s="19" t="s">
        <v>60</v>
      </c>
      <c r="T34" s="20" t="str">
        <f aca="false">IF(ISNUMBER(R34),IF(R34&gt;1,"NO CUMPLE",IF(R34&gt;lim_verde,"AL LÍMITE","CUMPLE")),"N/A")</f>
        <v>CUMPLE</v>
      </c>
    </row>
    <row r="35" customFormat="false" ht="15" hidden="false" customHeight="false" outlineLevel="0" collapsed="false">
      <c r="B35" s="7" t="s">
        <v>117</v>
      </c>
      <c r="C35" s="12" t="s">
        <v>118</v>
      </c>
      <c r="D35" s="11"/>
      <c r="G35" s="27" t="s">
        <v>119</v>
      </c>
      <c r="H35" s="28" t="s">
        <v>120</v>
      </c>
      <c r="I35" s="28"/>
      <c r="J35" s="28"/>
      <c r="K35" s="29" t="n">
        <f aca="false">j_Fsu/1000</f>
        <v>76.8531765083638</v>
      </c>
      <c r="L35" s="11" t="s">
        <v>60</v>
      </c>
      <c r="N35" s="15" t="s">
        <v>121</v>
      </c>
      <c r="O35" s="16" t="s">
        <v>103</v>
      </c>
      <c r="P35" s="25" t="n">
        <f aca="false">s_Vu/1000</f>
        <v>16.5158547959479</v>
      </c>
      <c r="Q35" s="25" t="n">
        <f aca="false">w_Rbr/1000</f>
        <v>35.531692875</v>
      </c>
      <c r="R35" s="18" t="n">
        <f aca="false">(s_Vu/1000)/MAX(w_Rbr/1000,0.000000001)</f>
        <v>0.464820374701832</v>
      </c>
      <c r="S35" s="19" t="s">
        <v>60</v>
      </c>
      <c r="T35" s="20" t="str">
        <f aca="false">IF(ISNUMBER(R35),IF(R35&gt;1,"NO CUMPLE",IF(R35&gt;lim_verde,"AL LÍMITE","CUMPLE")),"N/A")</f>
        <v>CUMPLE</v>
      </c>
    </row>
    <row r="36" customFormat="false" ht="15" hidden="false" customHeight="false" outlineLevel="0" collapsed="false">
      <c r="B36" s="7" t="s">
        <v>122</v>
      </c>
      <c r="C36" s="12" t="n">
        <v>15</v>
      </c>
      <c r="D36" s="11" t="s">
        <v>31</v>
      </c>
      <c r="N36" s="15" t="s">
        <v>123</v>
      </c>
      <c r="O36" s="16" t="s">
        <v>124</v>
      </c>
      <c r="P36" s="25" t="n">
        <f aca="false">s_Vu/1000</f>
        <v>16.5158547959479</v>
      </c>
      <c r="Q36" s="25" t="n">
        <f aca="false">w_Ry/1000</f>
        <v>46.299</v>
      </c>
      <c r="R36" s="18" t="n">
        <f aca="false">(s_Vu/1000)/MAX(w_Ry/1000,0.000000001)</f>
        <v>0.356721631049221</v>
      </c>
      <c r="S36" s="19" t="s">
        <v>60</v>
      </c>
      <c r="T36" s="20" t="str">
        <f aca="false">IF(ISNUMBER(R36),IF(R36&gt;1,"NO CUMPLE",IF(R36&gt;lim_verde,"AL LÍMITE","CUMPLE")),"N/A")</f>
        <v>CUMPLE</v>
      </c>
    </row>
    <row r="37" customFormat="false" ht="15" hidden="false" customHeight="false" outlineLevel="0" collapsed="false">
      <c r="B37" s="7" t="s">
        <v>125</v>
      </c>
      <c r="C37" s="12" t="n">
        <v>110</v>
      </c>
      <c r="D37" s="11" t="s">
        <v>31</v>
      </c>
      <c r="G37" s="2" t="s">
        <v>126</v>
      </c>
      <c r="H37" s="2"/>
      <c r="I37" s="2"/>
      <c r="J37" s="2"/>
      <c r="K37" s="2"/>
      <c r="L37" s="2"/>
      <c r="N37" s="15" t="s">
        <v>127</v>
      </c>
      <c r="O37" s="16" t="s">
        <v>128</v>
      </c>
      <c r="P37" s="25" t="n">
        <f aca="false">s_Vu/1000</f>
        <v>16.5158547959479</v>
      </c>
      <c r="Q37" s="25" t="n">
        <f aca="false">w_Rr/1000</f>
        <v>39.67596</v>
      </c>
      <c r="R37" s="18" t="n">
        <f aca="false">(s_Vu/1000)/MAX(w_Rr/1000,0.000000001)</f>
        <v>0.416268561515535</v>
      </c>
      <c r="S37" s="19" t="s">
        <v>60</v>
      </c>
      <c r="T37" s="20" t="str">
        <f aca="false">IF(ISNUMBER(R37),IF(R37&gt;1,"NO CUMPLE",IF(R37&gt;lim_verde,"AL LÍMITE","CUMPLE")),"N/A")</f>
        <v>CUMPLE</v>
      </c>
    </row>
    <row r="38" customFormat="false" ht="15" hidden="false" customHeight="false" outlineLevel="0" collapsed="false">
      <c r="B38" s="7" t="s">
        <v>129</v>
      </c>
      <c r="C38" s="12" t="n">
        <v>6</v>
      </c>
      <c r="D38" s="11" t="s">
        <v>31</v>
      </c>
      <c r="G38" s="31" t="s">
        <v>130</v>
      </c>
      <c r="H38" s="31"/>
      <c r="I38" s="31"/>
      <c r="J38" s="31"/>
      <c r="K38" s="31"/>
      <c r="L38" s="31"/>
      <c r="N38" s="15" t="s">
        <v>131</v>
      </c>
      <c r="O38" s="16" t="s">
        <v>132</v>
      </c>
      <c r="P38" s="25" t="n">
        <f aca="false">s_Vu/1000</f>
        <v>16.5158547959479</v>
      </c>
      <c r="Q38" s="25" t="n">
        <f aca="false">w_Rw/1000</f>
        <v>76.3865424</v>
      </c>
      <c r="R38" s="18" t="n">
        <f aca="false">(s_Vu/1000)/MAX(w_Rw/1000,0.000000001)</f>
        <v>0.216214195289299</v>
      </c>
      <c r="S38" s="19" t="s">
        <v>60</v>
      </c>
      <c r="T38" s="20" t="str">
        <f aca="false">IF(ISNUMBER(R38),IF(R38&gt;1,"NO CUMPLE",IF(R38&gt;lim_verde,"AL LÍMITE","CUMPLE")),"N/A")</f>
        <v>CUMPLE</v>
      </c>
    </row>
    <row r="39" customFormat="false" ht="15" hidden="false" customHeight="false" outlineLevel="0" collapsed="false">
      <c r="B39" s="2" t="s">
        <v>133</v>
      </c>
      <c r="C39" s="2"/>
      <c r="D39" s="2"/>
      <c r="E39" s="2"/>
      <c r="G39" s="31" t="s">
        <v>134</v>
      </c>
      <c r="H39" s="31"/>
      <c r="I39" s="31"/>
      <c r="J39" s="31"/>
      <c r="K39" s="31"/>
      <c r="L39" s="31"/>
      <c r="N39" s="14" t="s">
        <v>135</v>
      </c>
      <c r="O39" s="14"/>
      <c r="P39" s="14"/>
      <c r="Q39" s="14"/>
      <c r="R39" s="14"/>
      <c r="S39" s="14"/>
      <c r="T39" s="14"/>
    </row>
    <row r="40" customFormat="false" ht="15" hidden="false" customHeight="false" outlineLevel="0" collapsed="false">
      <c r="B40" s="7" t="s">
        <v>136</v>
      </c>
      <c r="C40" s="12" t="s">
        <v>47</v>
      </c>
      <c r="D40" s="12"/>
      <c r="G40" s="31" t="s">
        <v>137</v>
      </c>
      <c r="H40" s="31"/>
      <c r="I40" s="31"/>
      <c r="J40" s="31"/>
      <c r="K40" s="31"/>
      <c r="L40" s="31"/>
      <c r="N40" s="15" t="s">
        <v>138</v>
      </c>
      <c r="O40" s="16" t="s">
        <v>139</v>
      </c>
      <c r="P40" s="25" t="str">
        <f aca="false">IF(cp_usar="Sí","—",s_Ff/1000)</f>
        <v>—</v>
      </c>
      <c r="Q40" s="25" t="str">
        <f aca="false">IF(cp_usar="Sí","—",j_Rfb/1000)</f>
        <v>—</v>
      </c>
      <c r="R40" s="18" t="str">
        <f aca="false">IF(cp_usar="Sí","N/A",(s_Ff/1000)/MAX(j_Rfb/1000,0.000000001))</f>
        <v>N/A</v>
      </c>
      <c r="S40" s="19" t="s">
        <v>60</v>
      </c>
      <c r="T40" s="20" t="str">
        <f aca="false">IF(ISNUMBER(R40),IF(R40&gt;1,"NO CUMPLE",IF(R40&gt;lim_verde,"AL LÍMITE","CUMPLE")),"N/A")</f>
        <v>N/A</v>
      </c>
    </row>
    <row r="41" customFormat="false" ht="15" hidden="false" customHeight="false" outlineLevel="0" collapsed="false">
      <c r="B41" s="7" t="s">
        <v>50</v>
      </c>
      <c r="C41" s="23" t="n">
        <f aca="false">INDEX(CATALOGOS!$N$5:$N$12,MATCH(pl_acero,CATALOGOS!$M$5:$M$12,0))</f>
        <v>3515</v>
      </c>
      <c r="D41" s="11" t="s">
        <v>51</v>
      </c>
      <c r="E41" s="24" t="n">
        <f aca="false">INDEX(CATALOGOS!$O$5:$O$12,MATCH(pl_acero,CATALOGOS!$M$5:$M$12,0))</f>
        <v>4570</v>
      </c>
      <c r="G41" s="31" t="s">
        <v>140</v>
      </c>
      <c r="H41" s="31"/>
      <c r="I41" s="31"/>
      <c r="J41" s="31"/>
      <c r="K41" s="31"/>
      <c r="L41" s="31"/>
      <c r="N41" s="15" t="s">
        <v>141</v>
      </c>
      <c r="O41" s="16" t="s">
        <v>142</v>
      </c>
      <c r="P41" s="25" t="str">
        <f aca="false">IF(cp_usar="Sí","—",s_Ff/1000)</f>
        <v>—</v>
      </c>
      <c r="Q41" s="25" t="str">
        <f aca="false">IF(cp_usar="Sí","—",j_Rwy/1000)</f>
        <v>—</v>
      </c>
      <c r="R41" s="18" t="str">
        <f aca="false">IF(cp_usar="Sí","N/A",(s_Ff/1000)/MAX(j_Rwy/1000,0.000000001))</f>
        <v>N/A</v>
      </c>
      <c r="S41" s="19" t="s">
        <v>60</v>
      </c>
      <c r="T41" s="20" t="str">
        <f aca="false">IF(ISNUMBER(R41),IF(R41&gt;1,"NO CUMPLE",IF(R41&gt;lim_verde,"AL LÍMITE","CUMPLE")),"N/A")</f>
        <v>N/A</v>
      </c>
    </row>
    <row r="42" customFormat="false" ht="15" hidden="false" customHeight="false" outlineLevel="0" collapsed="false">
      <c r="B42" s="7" t="s">
        <v>143</v>
      </c>
      <c r="C42" s="12" t="n">
        <v>25</v>
      </c>
      <c r="D42" s="11" t="s">
        <v>31</v>
      </c>
      <c r="G42" s="31" t="s">
        <v>144</v>
      </c>
      <c r="H42" s="31"/>
      <c r="I42" s="31"/>
      <c r="J42" s="31"/>
      <c r="K42" s="31"/>
      <c r="L42" s="31"/>
      <c r="N42" s="15" t="s">
        <v>145</v>
      </c>
      <c r="O42" s="16" t="s">
        <v>146</v>
      </c>
      <c r="P42" s="25" t="str">
        <f aca="false">IF(cp_usar="Sí","—",s_Ff/1000)</f>
        <v>—</v>
      </c>
      <c r="Q42" s="25" t="str">
        <f aca="false">IF(cp_usar="Sí","—",j_Rwc/1000)</f>
        <v>—</v>
      </c>
      <c r="R42" s="18" t="str">
        <f aca="false">IF(cp_usar="Sí","N/A",(s_Ff/1000)/MAX(j_Rwc/1000,0.000000001))</f>
        <v>N/A</v>
      </c>
      <c r="S42" s="19" t="s">
        <v>60</v>
      </c>
      <c r="T42" s="20" t="str">
        <f aca="false">IF(ISNUMBER(R42),IF(R42&gt;1,"NO CUMPLE",IF(R42&gt;lim_verde,"AL LÍMITE","CUMPLE")),"N/A")</f>
        <v>N/A</v>
      </c>
    </row>
    <row r="43" customFormat="false" ht="15" hidden="false" customHeight="false" outlineLevel="0" collapsed="false">
      <c r="B43" s="7" t="s">
        <v>147</v>
      </c>
      <c r="C43" s="12" t="n">
        <v>200</v>
      </c>
      <c r="D43" s="11" t="s">
        <v>31</v>
      </c>
      <c r="G43" s="31" t="s">
        <v>148</v>
      </c>
      <c r="H43" s="31"/>
      <c r="I43" s="31"/>
      <c r="J43" s="31"/>
      <c r="K43" s="31"/>
      <c r="L43" s="31"/>
      <c r="N43" s="15" t="s">
        <v>149</v>
      </c>
      <c r="O43" s="16" t="s">
        <v>150</v>
      </c>
      <c r="P43" s="25" t="str">
        <f aca="false">IF(OR(cp_usar="Sí",dos_lados="No"),"—",s_Ff/1000)</f>
        <v>—</v>
      </c>
      <c r="Q43" s="25" t="str">
        <f aca="false">IF(OR(cp_usar="Sí",dos_lados="No"),"—",j_Rwb/1000)</f>
        <v>—</v>
      </c>
      <c r="R43" s="18" t="str">
        <f aca="false">IF(OR(cp_usar="Sí",dos_lados="No"),"N/A",(s_Ff/1000)/MAX(j_Rwb/1000,0.000000001))</f>
        <v>N/A</v>
      </c>
      <c r="S43" s="19" t="s">
        <v>60</v>
      </c>
      <c r="T43" s="20" t="str">
        <f aca="false">IF(ISNUMBER(R43),IF(R43&gt;1,"NO CUMPLE",IF(R43&gt;lim_verde,"AL LÍMITE","CUMPLE")),"N/A")</f>
        <v>N/A</v>
      </c>
    </row>
    <row r="44" customFormat="false" ht="15" hidden="false" customHeight="false" outlineLevel="0" collapsed="false">
      <c r="B44" s="7" t="s">
        <v>151</v>
      </c>
      <c r="C44" s="12" t="n">
        <v>8</v>
      </c>
      <c r="D44" s="11"/>
      <c r="G44" s="31" t="s">
        <v>152</v>
      </c>
      <c r="H44" s="31"/>
      <c r="I44" s="31"/>
      <c r="J44" s="31"/>
      <c r="K44" s="31"/>
      <c r="L44" s="31"/>
      <c r="N44" s="15" t="s">
        <v>117</v>
      </c>
      <c r="O44" s="16" t="s">
        <v>153</v>
      </c>
      <c r="P44" s="25" t="n">
        <f aca="false">IF(cp_usar="No","—",j_Fsu/1000)</f>
        <v>76.8531765083638</v>
      </c>
      <c r="Q44" s="25" t="n">
        <f aca="false">IF(cp_usar="No","—",j_Rcp/1000)</f>
        <v>104.3955</v>
      </c>
      <c r="R44" s="18" t="n">
        <f aca="false">IF(cp_usar="No","N/A",(j_Fsu/1000)/MAX(j_Rcp/1000,0.000000001))</f>
        <v>0.73617326904286</v>
      </c>
      <c r="S44" s="19" t="s">
        <v>60</v>
      </c>
      <c r="T44" s="20" t="str">
        <f aca="false">IF(ISNUMBER(R44),IF(R44&gt;1,"NO CUMPLE",IF(R44&gt;lim_verde,"AL LÍMITE","CUMPLE")),"N/A")</f>
        <v>CUMPLE</v>
      </c>
    </row>
    <row r="45" customFormat="false" ht="15" hidden="false" customHeight="false" outlineLevel="0" collapsed="false">
      <c r="B45" s="7" t="s">
        <v>154</v>
      </c>
      <c r="C45" s="12" t="s">
        <v>155</v>
      </c>
      <c r="D45" s="12"/>
      <c r="N45" s="15" t="s">
        <v>156</v>
      </c>
      <c r="O45" s="16" t="s">
        <v>157</v>
      </c>
      <c r="P45" s="25" t="n">
        <f aca="false">j_Ru/1000</f>
        <v>121.339895258364</v>
      </c>
      <c r="Q45" s="25" t="n">
        <f aca="false">j_Rpz/1000</f>
        <v>177.61734375</v>
      </c>
      <c r="R45" s="18" t="n">
        <f aca="false">(j_Ru/1000)/MAX(j_Rpz/1000,0.000000001)</f>
        <v>0.683153416758401</v>
      </c>
      <c r="S45" s="19" t="s">
        <v>60</v>
      </c>
      <c r="T45" s="20" t="str">
        <f aca="false">IF(ISNUMBER(R45),IF(R45&gt;1,"NO CUMPLE",IF(R45&gt;lim_verde,"AL LÍMITE","CUMPLE")),"N/A")</f>
        <v>CUMPLE</v>
      </c>
    </row>
    <row r="46" customFormat="false" ht="15" hidden="false" customHeight="false" outlineLevel="0" collapsed="false">
      <c r="B46" s="7" t="s">
        <v>158</v>
      </c>
      <c r="C46" s="12" t="s">
        <v>159</v>
      </c>
      <c r="D46" s="12"/>
      <c r="N46" s="15" t="s">
        <v>160</v>
      </c>
      <c r="O46" s="16" t="s">
        <v>161</v>
      </c>
      <c r="P46" s="22" t="n">
        <f aca="false">j_tmin*10</f>
        <v>9.94444444444445</v>
      </c>
      <c r="Q46" s="22" t="n">
        <f aca="false">j_tpz*10</f>
        <v>16</v>
      </c>
      <c r="R46" s="18" t="n">
        <f aca="false">(j_tmin*10)/MAX(j_tpz*10,0.000000001)</f>
        <v>0.621527777777778</v>
      </c>
      <c r="S46" s="19" t="s">
        <v>31</v>
      </c>
      <c r="T46" s="20" t="str">
        <f aca="false">IF(ISNUMBER(R46),IF(R46&gt;1,"NO CUMPLE",IF(R46&gt;lim_verde,"AL LÍMITE","CUMPLE")),"N/A")</f>
        <v>CUMPLE</v>
      </c>
    </row>
    <row r="47" customFormat="false" ht="15" hidden="false" customHeight="false" outlineLevel="0" collapsed="false">
      <c r="B47" s="7" t="s">
        <v>162</v>
      </c>
      <c r="C47" s="12" t="n">
        <v>110</v>
      </c>
      <c r="D47" s="11" t="s">
        <v>31</v>
      </c>
      <c r="N47" s="15" t="s">
        <v>163</v>
      </c>
      <c r="O47" s="16" t="s">
        <v>164</v>
      </c>
      <c r="P47" s="25" t="n">
        <f aca="false">j_Mpb/100000</f>
        <v>55.6984191837916</v>
      </c>
      <c r="Q47" s="25" t="n">
        <f aca="false">j_Mpc/100000</f>
        <v>158.907529508197</v>
      </c>
      <c r="R47" s="18" t="n">
        <f aca="false">(j_Mpb/100000)/MAX(j_Mpc/100000,0.000000001)</f>
        <v>0.350508370221177</v>
      </c>
      <c r="S47" s="19" t="s">
        <v>69</v>
      </c>
      <c r="T47" s="20" t="str">
        <f aca="false">IF(ISNUMBER(R47),IF(R47&gt;1,"NO CUMPLE",IF(R47&gt;lim_verde,"AL LÍMITE","CUMPLE")),"N/A")</f>
        <v>CUMPLE</v>
      </c>
    </row>
    <row r="48" customFormat="false" ht="15" hidden="false" customHeight="false" outlineLevel="0" collapsed="false">
      <c r="B48" s="7" t="s">
        <v>165</v>
      </c>
      <c r="C48" s="12" t="n">
        <v>70</v>
      </c>
      <c r="D48" s="11" t="s">
        <v>31</v>
      </c>
      <c r="N48" s="14" t="s">
        <v>166</v>
      </c>
      <c r="O48" s="14"/>
      <c r="P48" s="14"/>
      <c r="Q48" s="14"/>
      <c r="R48" s="14"/>
      <c r="S48" s="14"/>
      <c r="T48" s="14"/>
    </row>
    <row r="49" customFormat="false" ht="15" hidden="false" customHeight="false" outlineLevel="0" collapsed="false">
      <c r="B49" s="7" t="s">
        <v>167</v>
      </c>
      <c r="C49" s="12" t="n">
        <v>75</v>
      </c>
      <c r="D49" s="11" t="s">
        <v>31</v>
      </c>
      <c r="N49" s="15" t="s">
        <v>168</v>
      </c>
      <c r="O49" s="16" t="s">
        <v>169</v>
      </c>
      <c r="P49" s="25" t="n">
        <f aca="false">3*a_db</f>
        <v>6.6675</v>
      </c>
      <c r="Q49" s="25" t="n">
        <f aca="false">p_s</f>
        <v>7.5</v>
      </c>
      <c r="R49" s="18" t="n">
        <f aca="false">(3*a_db)/MAX(p_s,0.000000001)</f>
        <v>0.889</v>
      </c>
      <c r="S49" s="19" t="s">
        <v>85</v>
      </c>
      <c r="T49" s="20" t="str">
        <f aca="false">IF(ISNUMBER(R49),IF(R49&gt;1,"NO CUMPLE",IF(R49&gt;lim_verde,"AL LÍMITE","CUMPLE")),"N/A")</f>
        <v>CUMPLE</v>
      </c>
    </row>
    <row r="50" customFormat="false" ht="15" hidden="false" customHeight="false" outlineLevel="0" collapsed="false">
      <c r="B50" s="7" t="s">
        <v>170</v>
      </c>
      <c r="C50" s="12" t="n">
        <v>45</v>
      </c>
      <c r="D50" s="11" t="s">
        <v>31</v>
      </c>
      <c r="N50" s="15" t="s">
        <v>171</v>
      </c>
      <c r="O50" s="16" t="s">
        <v>169</v>
      </c>
      <c r="P50" s="25" t="n">
        <f aca="false">3*a_db</f>
        <v>6.6675</v>
      </c>
      <c r="Q50" s="25" t="n">
        <f aca="false">p_g</f>
        <v>11</v>
      </c>
      <c r="R50" s="18" t="n">
        <f aca="false">(3*a_db)/MAX(p_g,0.000000001)</f>
        <v>0.606136363636364</v>
      </c>
      <c r="S50" s="19" t="s">
        <v>85</v>
      </c>
      <c r="T50" s="20" t="str">
        <f aca="false">IF(ISNUMBER(R50),IF(R50&gt;1,"NO CUMPLE",IF(R50&gt;lim_verde,"AL LÍMITE","CUMPLE")),"N/A")</f>
        <v>CUMPLE</v>
      </c>
    </row>
    <row r="51" customFormat="false" ht="15" hidden="false" customHeight="false" outlineLevel="0" collapsed="false">
      <c r="B51" s="7" t="s">
        <v>172</v>
      </c>
      <c r="C51" s="12" t="n">
        <v>15</v>
      </c>
      <c r="D51" s="11" t="s">
        <v>31</v>
      </c>
      <c r="N51" s="15" t="s">
        <v>173</v>
      </c>
      <c r="O51" s="16" t="s">
        <v>174</v>
      </c>
      <c r="P51" s="25" t="n">
        <f aca="false">a_emin</f>
        <v>2.8575</v>
      </c>
      <c r="Q51" s="25" t="n">
        <f aca="false">(p_b-p_g)/2</f>
        <v>4.5</v>
      </c>
      <c r="R51" s="18" t="n">
        <f aca="false">(a_emin)/MAX((p_b-p_g)/2,0.000000001)</f>
        <v>0.635</v>
      </c>
      <c r="S51" s="19" t="s">
        <v>85</v>
      </c>
      <c r="T51" s="20" t="str">
        <f aca="false">IF(ISNUMBER(R51),IF(R51&gt;1,"NO CUMPLE",IF(R51&gt;lim_verde,"AL LÍMITE","CUMPLE")),"N/A")</f>
        <v>CUMPLE</v>
      </c>
    </row>
    <row r="52" customFormat="false" ht="15" hidden="false" customHeight="false" outlineLevel="0" collapsed="false">
      <c r="B52" s="2" t="s">
        <v>175</v>
      </c>
      <c r="C52" s="2"/>
      <c r="D52" s="2"/>
      <c r="E52" s="2"/>
      <c r="N52" s="15" t="s">
        <v>176</v>
      </c>
      <c r="O52" s="16" t="s">
        <v>174</v>
      </c>
      <c r="P52" s="25" t="n">
        <f aca="false">a_emin</f>
        <v>2.8575</v>
      </c>
      <c r="Q52" s="25" t="n">
        <f aca="false">(b_bf-p_g)/2</f>
        <v>3.5</v>
      </c>
      <c r="R52" s="18" t="n">
        <f aca="false">(a_emin)/MAX((b_bf-p_g)/2,0.000000001)</f>
        <v>0.816428571428571</v>
      </c>
      <c r="S52" s="19" t="s">
        <v>85</v>
      </c>
      <c r="T52" s="20" t="str">
        <f aca="false">IF(ISNUMBER(R52),IF(R52&gt;1,"NO CUMPLE",IF(R52&gt;lim_verde,"AL LÍMITE","CUMPLE")),"N/A")</f>
        <v>CUMPLE</v>
      </c>
    </row>
    <row r="53" customFormat="false" ht="15" hidden="false" customHeight="false" outlineLevel="0" collapsed="false">
      <c r="B53" s="7" t="s">
        <v>177</v>
      </c>
      <c r="C53" s="12" t="n">
        <v>4</v>
      </c>
      <c r="D53" s="11"/>
      <c r="N53" s="15" t="s">
        <v>178</v>
      </c>
      <c r="O53" s="16" t="s">
        <v>174</v>
      </c>
      <c r="P53" s="25" t="n">
        <f aca="false">a_emin</f>
        <v>2.8575</v>
      </c>
      <c r="Q53" s="25" t="n">
        <f aca="false">p_Le</f>
        <v>4.5</v>
      </c>
      <c r="R53" s="18" t="n">
        <f aca="false">(a_emin)/MAX(p_Le,0.000000001)</f>
        <v>0.635</v>
      </c>
      <c r="S53" s="19" t="s">
        <v>85</v>
      </c>
      <c r="T53" s="20" t="str">
        <f aca="false">IF(ISNUMBER(R53),IF(R53&gt;1,"NO CUMPLE",IF(R53&gt;lim_verde,"AL LÍMITE","CUMPLE")),"N/A")</f>
        <v>CUMPLE</v>
      </c>
    </row>
    <row r="54" customFormat="false" ht="15" hidden="false" customHeight="false" outlineLevel="0" collapsed="false">
      <c r="B54" s="7" t="s">
        <v>154</v>
      </c>
      <c r="C54" s="12" t="s">
        <v>179</v>
      </c>
      <c r="D54" s="12"/>
      <c r="N54" s="15" t="s">
        <v>180</v>
      </c>
      <c r="O54" s="16" t="s">
        <v>174</v>
      </c>
      <c r="P54" s="25" t="n">
        <f aca="false">a_emin</f>
        <v>2.8575</v>
      </c>
      <c r="Q54" s="25" t="n">
        <f aca="false">b_Le</f>
        <v>5.5</v>
      </c>
      <c r="R54" s="18" t="n">
        <f aca="false">(a_emin)/MAX(b_Le,0.000000001)</f>
        <v>0.519545454545455</v>
      </c>
      <c r="S54" s="19" t="s">
        <v>85</v>
      </c>
      <c r="T54" s="20" t="str">
        <f aca="false">IF(ISNUMBER(R54),IF(R54&gt;1,"NO CUMPLE",IF(R54&gt;lim_verde,"AL LÍMITE","CUMPLE")),"N/A")</f>
        <v>CUMPLE</v>
      </c>
    </row>
    <row r="55" customFormat="false" ht="15" hidden="false" customHeight="false" outlineLevel="0" collapsed="false">
      <c r="B55" s="7" t="s">
        <v>158</v>
      </c>
      <c r="C55" s="12" t="s">
        <v>181</v>
      </c>
      <c r="D55" s="12"/>
      <c r="N55" s="15" t="s">
        <v>182</v>
      </c>
      <c r="O55" s="16" t="s">
        <v>153</v>
      </c>
      <c r="P55" s="25" t="n">
        <f aca="false">IF(cp_usar="No","—",MAX((b_bf/3-c_tw/2)/(cp_b/10),(p_tp/2)/(cp_t/10)))</f>
        <v>0.833333333333333</v>
      </c>
      <c r="Q55" s="25" t="n">
        <f aca="false">IF(cp_usar="No","—",1)</f>
        <v>1</v>
      </c>
      <c r="R55" s="18" t="n">
        <f aca="false">IF(cp_usar="No","N/A",(MAX((b_bf/3-c_tw/2)/(cp_b/10),(p_tp/2)/(cp_t/10)))/MAX(1,0.000000001))</f>
        <v>0.833333333333333</v>
      </c>
      <c r="S55" s="19" t="s">
        <v>42</v>
      </c>
      <c r="T55" s="20" t="str">
        <f aca="false">IF(ISNUMBER(R55),IF(R55&gt;1,"NO CUMPLE",IF(R55&gt;lim_verde,"AL LÍMITE","CUMPLE")),"N/A")</f>
        <v>CUMPLE</v>
      </c>
    </row>
    <row r="56" customFormat="false" ht="15" hidden="false" customHeight="false" outlineLevel="0" collapsed="false">
      <c r="B56" s="7" t="s">
        <v>183</v>
      </c>
      <c r="C56" s="12" t="n">
        <v>75</v>
      </c>
      <c r="D56" s="11" t="s">
        <v>31</v>
      </c>
    </row>
    <row r="57" customFormat="false" ht="15" hidden="false" customHeight="false" outlineLevel="0" collapsed="false">
      <c r="B57" s="7" t="s">
        <v>184</v>
      </c>
      <c r="C57" s="12" t="n">
        <v>40</v>
      </c>
      <c r="D57" s="11" t="s">
        <v>31</v>
      </c>
      <c r="N57" s="2" t="s">
        <v>185</v>
      </c>
      <c r="O57" s="2"/>
      <c r="P57" s="2"/>
      <c r="Q57" s="2"/>
      <c r="R57" s="2"/>
      <c r="S57" s="2"/>
      <c r="T57" s="2"/>
    </row>
    <row r="58" customFormat="false" ht="15" hidden="false" customHeight="false" outlineLevel="0" collapsed="false">
      <c r="B58" s="7" t="s">
        <v>186</v>
      </c>
      <c r="C58" s="12" t="n">
        <v>10</v>
      </c>
      <c r="D58" s="11" t="s">
        <v>31</v>
      </c>
      <c r="N58" s="31" t="s">
        <v>187</v>
      </c>
      <c r="O58" s="31"/>
      <c r="P58" s="31"/>
      <c r="Q58" s="31"/>
      <c r="R58" s="31"/>
      <c r="S58" s="31"/>
      <c r="T58" s="31"/>
    </row>
    <row r="59" customFormat="false" ht="15" hidden="false" customHeight="false" outlineLevel="0" collapsed="false">
      <c r="B59" s="7" t="s">
        <v>188</v>
      </c>
      <c r="C59" s="12" t="s">
        <v>189</v>
      </c>
      <c r="D59" s="12"/>
      <c r="N59" s="31" t="s">
        <v>190</v>
      </c>
      <c r="O59" s="31"/>
      <c r="P59" s="31"/>
      <c r="Q59" s="31"/>
      <c r="R59" s="31"/>
      <c r="S59" s="31"/>
      <c r="T59" s="31"/>
    </row>
    <row r="60" customFormat="false" ht="15" hidden="false" customHeight="false" outlineLevel="0" collapsed="false">
      <c r="B60" s="7" t="s">
        <v>191</v>
      </c>
      <c r="C60" s="12" t="s">
        <v>192</v>
      </c>
      <c r="D60" s="12"/>
      <c r="N60" s="31" t="s">
        <v>193</v>
      </c>
      <c r="O60" s="31"/>
      <c r="P60" s="31"/>
      <c r="Q60" s="31"/>
      <c r="R60" s="31"/>
      <c r="S60" s="31"/>
      <c r="T60" s="31"/>
    </row>
    <row r="61" customFormat="false" ht="15" hidden="false" customHeight="false" outlineLevel="0" collapsed="false">
      <c r="B61" s="7" t="s">
        <v>194</v>
      </c>
      <c r="C61" s="12" t="n">
        <v>8</v>
      </c>
      <c r="D61" s="11" t="s">
        <v>31</v>
      </c>
      <c r="N61" s="31" t="s">
        <v>195</v>
      </c>
      <c r="O61" s="31"/>
      <c r="P61" s="31"/>
      <c r="Q61" s="31"/>
      <c r="R61" s="31"/>
      <c r="S61" s="31"/>
      <c r="T61" s="31"/>
    </row>
    <row r="62" customFormat="false" ht="15" hidden="false" customHeight="false" outlineLevel="0" collapsed="false">
      <c r="N62" s="31" t="s">
        <v>196</v>
      </c>
      <c r="O62" s="31"/>
      <c r="P62" s="31"/>
      <c r="Q62" s="31"/>
      <c r="R62" s="31"/>
      <c r="S62" s="31"/>
      <c r="T62" s="31"/>
    </row>
  </sheetData>
  <mergeCells count="59">
    <mergeCell ref="B2:T2"/>
    <mergeCell ref="B3:T3"/>
    <mergeCell ref="B6:E6"/>
    <mergeCell ref="G6:I6"/>
    <mergeCell ref="J6:L6"/>
    <mergeCell ref="N6:T6"/>
    <mergeCell ref="C7:E7"/>
    <mergeCell ref="N7:T8"/>
    <mergeCell ref="C8:E8"/>
    <mergeCell ref="C10:D10"/>
    <mergeCell ref="B11:E11"/>
    <mergeCell ref="N11:T11"/>
    <mergeCell ref="C12:D12"/>
    <mergeCell ref="C17:D17"/>
    <mergeCell ref="G21:L21"/>
    <mergeCell ref="B22:E22"/>
    <mergeCell ref="H22:J22"/>
    <mergeCell ref="N22:T22"/>
    <mergeCell ref="C23:D23"/>
    <mergeCell ref="H23:J23"/>
    <mergeCell ref="H24:J24"/>
    <mergeCell ref="H25:J25"/>
    <mergeCell ref="H26:J26"/>
    <mergeCell ref="H27:J27"/>
    <mergeCell ref="C28:D28"/>
    <mergeCell ref="H28:J28"/>
    <mergeCell ref="H29:J29"/>
    <mergeCell ref="H30:J30"/>
    <mergeCell ref="H31:J31"/>
    <mergeCell ref="H32:J32"/>
    <mergeCell ref="H33:J33"/>
    <mergeCell ref="N33:T33"/>
    <mergeCell ref="H34:J34"/>
    <mergeCell ref="H35:J35"/>
    <mergeCell ref="G37:L37"/>
    <mergeCell ref="G38:L38"/>
    <mergeCell ref="B39:E39"/>
    <mergeCell ref="G39:L39"/>
    <mergeCell ref="N39:T39"/>
    <mergeCell ref="C40:D40"/>
    <mergeCell ref="G40:L40"/>
    <mergeCell ref="G41:L41"/>
    <mergeCell ref="G42:L42"/>
    <mergeCell ref="G43:L43"/>
    <mergeCell ref="G44:L44"/>
    <mergeCell ref="C45:D45"/>
    <mergeCell ref="C46:D46"/>
    <mergeCell ref="N48:T48"/>
    <mergeCell ref="B52:E52"/>
    <mergeCell ref="C54:D54"/>
    <mergeCell ref="C55:D55"/>
    <mergeCell ref="N57:T57"/>
    <mergeCell ref="N58:T58"/>
    <mergeCell ref="C59:D59"/>
    <mergeCell ref="N59:T59"/>
    <mergeCell ref="C60:D60"/>
    <mergeCell ref="N60:T60"/>
    <mergeCell ref="N61:T61"/>
    <mergeCell ref="N62:T62"/>
  </mergeCells>
  <conditionalFormatting sqref="R12:R55">
    <cfRule type="expression" priority="2" aboveAverage="0" equalAverage="0" bottom="0" percent="0" rank="0" text="" dxfId="0">
      <formula>AND(ISNUMBER(R12),R12&gt;1)</formula>
    </cfRule>
    <cfRule type="expression" priority="3" aboveAverage="0" equalAverage="0" bottom="0" percent="0" rank="0" text="" dxfId="1">
      <formula>AND(ISNUMBER(R12),R12&gt;lim_verde,R12&lt;=1)</formula>
    </cfRule>
    <cfRule type="expression" priority="4" aboveAverage="0" equalAverage="0" bottom="0" percent="0" rank="0" text="" dxfId="2">
      <formula>AND(ISNUMBER(R12),R12&lt;=lim_verde)</formula>
    </cfRule>
  </conditionalFormatting>
  <conditionalFormatting sqref="T12:T55">
    <cfRule type="expression" priority="5" aboveAverage="0" equalAverage="0" bottom="0" percent="0" rank="0" text="" dxfId="0">
      <formula>T12="NO CUMPLE"</formula>
    </cfRule>
    <cfRule type="expression" priority="6" aboveAverage="0" equalAverage="0" bottom="0" percent="0" rank="0" text="" dxfId="1">
      <formula>T12="AL LÍMITE"</formula>
    </cfRule>
    <cfRule type="expression" priority="7" aboveAverage="0" equalAverage="0" bottom="0" percent="0" rank="0" text="" dxfId="2">
      <formula>T12="CUMPLE"</formula>
    </cfRule>
    <cfRule type="expression" priority="8" aboveAverage="0" equalAverage="0" bottom="0" percent="0" rank="0" text="" dxfId="3">
      <formula>T12="N/A"</formula>
    </cfRule>
  </conditionalFormatting>
  <conditionalFormatting sqref="N7:T8">
    <cfRule type="expression" priority="9" aboveAverage="0" equalAverage="0" bottom="0" percent="0" rank="0" text="" dxfId="4">
      <formula>LEFT($N$7,1)="✖"</formula>
    </cfRule>
    <cfRule type="expression" priority="10" aboveAverage="0" equalAverage="0" bottom="0" percent="0" rank="0" text="" dxfId="5">
      <formula>LEFT($N$7,1)="▲"</formula>
    </cfRule>
    <cfRule type="expression" priority="11" aboveAverage="0" equalAverage="0" bottom="0" percent="0" rank="0" text="" dxfId="6">
      <formula>LEFT($N$7,1)="✔"</formula>
    </cfRule>
  </conditionalFormatting>
  <conditionalFormatting sqref="E13:E16">
    <cfRule type="expression" priority="12" aboveAverage="0" equalAverage="0" bottom="0" percent="0" rank="0" text="" dxfId="7">
      <formula>$C$12&lt;&gt;"ARMADO (flejes soldados)"</formula>
    </cfRule>
  </conditionalFormatting>
  <conditionalFormatting sqref="E24:E27">
    <cfRule type="expression" priority="13" aboveAverage="0" equalAverage="0" bottom="0" percent="0" rank="0" text="" dxfId="7">
      <formula>$C$23&lt;&gt;"ARMADO (flejes soldados)"</formula>
    </cfRule>
  </conditionalFormatting>
  <conditionalFormatting sqref="C36:C37">
    <cfRule type="expression" priority="14" aboveAverage="0" equalAverage="0" bottom="0" percent="0" rank="0" text="" dxfId="7">
      <formula>$C$35&lt;&gt;"Sí"</formula>
    </cfRule>
  </conditionalFormatting>
  <dataValidations count="10">
    <dataValidation allowBlank="true" errorStyle="stop" operator="between" showDropDown="false" showErrorMessage="false" showInputMessage="false" sqref="C33 C35" type="list">
      <formula1>CATALOGOS!$AD$5:$AD$6</formula1>
      <formula2>0</formula2>
    </dataValidation>
    <dataValidation allowBlank="true" errorStyle="stop" operator="between" showDropDown="false" showErrorMessage="false" showInputMessage="false" sqref="C17 C28 C40 C59" type="list">
      <formula1>CATALOGOS!$M$5:$M$12</formula1>
      <formula2>0</formula2>
    </dataValidation>
    <dataValidation allowBlank="true" error="Valor fuera de la lista. ¿Usarlo igual?" errorStyle="warning" operator="between" showDropDown="false" showErrorMessage="false" showInputMessage="false" sqref="C36 C38 C42 C58" type="list">
      <formula1>CATALOGOS!$AH$5:$AH$30</formula1>
      <formula2>0</formula2>
    </dataValidation>
    <dataValidation allowBlank="true" errorStyle="stop" operator="between" showDropDown="false" showErrorMessage="false" showInputMessage="false" sqref="C45 C54" type="list">
      <formula1>CATALOGOS!$S$5:$S$9</formula1>
      <formula2>0</formula2>
    </dataValidation>
    <dataValidation allowBlank="true" errorStyle="stop" operator="between" showDropDown="false" showErrorMessage="false" showInputMessage="false" sqref="C46 C55" type="list">
      <formula1>CATALOGOS!$W$5:$W$10</formula1>
      <formula2>0</formula2>
    </dataValidation>
    <dataValidation allowBlank="true" errorStyle="stop" operator="between" showDropDown="false" showErrorMessage="false" showInputMessage="false" sqref="C10" type="list">
      <formula1>CATALOGOS!$AF$5:$AF$6</formula1>
      <formula2>0</formula2>
    </dataValidation>
    <dataValidation allowBlank="true" errorStyle="stop" operator="between" showDropDown="false" showErrorMessage="false" showInputMessage="false" sqref="C12" type="list">
      <formula1>CATALOGOS!$A$5:$A$40</formula1>
      <formula2>0</formula2>
    </dataValidation>
    <dataValidation allowBlank="true" errorStyle="stop" operator="between" showDropDown="false" showErrorMessage="false" showInputMessage="false" sqref="C23" type="list">
      <formula1>CATALOGOS!$G$5:$G$40</formula1>
      <formula2>0</formula2>
    </dataValidation>
    <dataValidation allowBlank="true" errorStyle="stop" operator="between" showDropDown="false" showErrorMessage="false" showInputMessage="false" sqref="C44" type="list">
      <formula1>CATALOGOS!$AJ$5:$AJ$13</formula1>
      <formula2>0</formula2>
    </dataValidation>
    <dataValidation allowBlank="true" errorStyle="stop" operator="between" showDropDown="false" showErrorMessage="false" showInputMessage="false" sqref="C60" type="list">
      <formula1>CATALOGOS!$AA$5:$AA$6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8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2" t="s">
        <v>197</v>
      </c>
    </row>
    <row r="2" customFormat="false" ht="15" hidden="false" customHeight="false" outlineLevel="0" collapsed="false">
      <c r="A2" s="3" t="s">
        <v>198</v>
      </c>
    </row>
    <row r="4" customFormat="false" ht="15" hidden="false" customHeight="false" outlineLevel="0" collapsed="false">
      <c r="A4" s="33" t="s">
        <v>199</v>
      </c>
      <c r="B4" s="33"/>
      <c r="C4" s="33"/>
      <c r="D4" s="33"/>
    </row>
    <row r="5" customFormat="false" ht="15" hidden="false" customHeight="false" outlineLevel="0" collapsed="false">
      <c r="A5" s="34" t="s">
        <v>200</v>
      </c>
      <c r="B5" s="34" t="s">
        <v>201</v>
      </c>
      <c r="C5" s="34" t="s">
        <v>42</v>
      </c>
      <c r="D5" s="35" t="n">
        <f aca="false">IF(sistema="SMF",1,0)</f>
        <v>0</v>
      </c>
    </row>
    <row r="6" customFormat="false" ht="15" hidden="false" customHeight="false" outlineLevel="0" collapsed="false">
      <c r="A6" s="34" t="s">
        <v>202</v>
      </c>
      <c r="B6" s="34" t="s">
        <v>203</v>
      </c>
      <c r="C6" s="34" t="s">
        <v>51</v>
      </c>
      <c r="D6" s="35" t="n">
        <f aca="false">2040000</f>
        <v>2040000</v>
      </c>
    </row>
    <row r="7" customFormat="false" ht="15" hidden="false" customHeight="false" outlineLevel="0" collapsed="false">
      <c r="A7" s="34" t="s">
        <v>204</v>
      </c>
      <c r="B7" s="34" t="s">
        <v>205</v>
      </c>
      <c r="C7" s="34" t="s">
        <v>85</v>
      </c>
      <c r="D7" s="36" t="n">
        <f aca="false">vg_d_mm/10</f>
        <v>40</v>
      </c>
    </row>
    <row r="8" customFormat="false" ht="15" hidden="false" customHeight="false" outlineLevel="0" collapsed="false">
      <c r="A8" s="34" t="s">
        <v>206</v>
      </c>
      <c r="B8" s="34" t="s">
        <v>207</v>
      </c>
      <c r="C8" s="34" t="s">
        <v>85</v>
      </c>
      <c r="D8" s="36" t="n">
        <f aca="false">vg_bf_mm/10</f>
        <v>18</v>
      </c>
    </row>
    <row r="9" customFormat="false" ht="15" hidden="false" customHeight="false" outlineLevel="0" collapsed="false">
      <c r="A9" s="34" t="s">
        <v>208</v>
      </c>
      <c r="B9" s="34" t="s">
        <v>209</v>
      </c>
      <c r="C9" s="34" t="s">
        <v>85</v>
      </c>
      <c r="D9" s="36" t="n">
        <f aca="false">vg_tw_mm/10</f>
        <v>0.6</v>
      </c>
    </row>
    <row r="10" customFormat="false" ht="15" hidden="false" customHeight="false" outlineLevel="0" collapsed="false">
      <c r="A10" s="34" t="s">
        <v>210</v>
      </c>
      <c r="B10" s="34" t="s">
        <v>211</v>
      </c>
      <c r="C10" s="34" t="s">
        <v>85</v>
      </c>
      <c r="D10" s="36" t="n">
        <f aca="false">vg_tf_mm/10</f>
        <v>1.2</v>
      </c>
    </row>
    <row r="11" customFormat="false" ht="15" hidden="false" customHeight="false" outlineLevel="0" collapsed="false">
      <c r="A11" s="34" t="s">
        <v>212</v>
      </c>
      <c r="B11" s="34" t="s">
        <v>213</v>
      </c>
      <c r="C11" s="34" t="s">
        <v>85</v>
      </c>
      <c r="D11" s="36" t="n">
        <f aca="false">co_d_mm/10</f>
        <v>50</v>
      </c>
    </row>
    <row r="12" customFormat="false" ht="15" hidden="false" customHeight="false" outlineLevel="0" collapsed="false">
      <c r="A12" s="34" t="s">
        <v>214</v>
      </c>
      <c r="B12" s="34" t="s">
        <v>215</v>
      </c>
      <c r="C12" s="34" t="s">
        <v>85</v>
      </c>
      <c r="D12" s="36" t="n">
        <f aca="false">co_bf_mm/10</f>
        <v>25</v>
      </c>
    </row>
    <row r="13" customFormat="false" ht="15" hidden="false" customHeight="false" outlineLevel="0" collapsed="false">
      <c r="A13" s="34" t="s">
        <v>216</v>
      </c>
      <c r="B13" s="34" t="s">
        <v>217</v>
      </c>
      <c r="C13" s="34" t="s">
        <v>85</v>
      </c>
      <c r="D13" s="36" t="n">
        <f aca="false">co_tw_mm/10</f>
        <v>1</v>
      </c>
    </row>
    <row r="14" customFormat="false" ht="15" hidden="false" customHeight="false" outlineLevel="0" collapsed="false">
      <c r="A14" s="34" t="s">
        <v>218</v>
      </c>
      <c r="B14" s="34" t="s">
        <v>219</v>
      </c>
      <c r="C14" s="34" t="s">
        <v>85</v>
      </c>
      <c r="D14" s="36" t="n">
        <f aca="false">co_tf_mm/10</f>
        <v>1.5</v>
      </c>
    </row>
    <row r="15" customFormat="false" ht="15" hidden="false" customHeight="false" outlineLevel="0" collapsed="false">
      <c r="A15" s="34" t="s">
        <v>220</v>
      </c>
      <c r="B15" s="34" t="s">
        <v>221</v>
      </c>
      <c r="C15" s="34" t="s">
        <v>222</v>
      </c>
      <c r="D15" s="37" t="n">
        <f aca="false">2*b_bf*b_tf+(b_d-2*b_tf)*b_tw</f>
        <v>65.76</v>
      </c>
    </row>
    <row r="16" customFormat="false" ht="15" hidden="false" customHeight="false" outlineLevel="0" collapsed="false">
      <c r="A16" s="34" t="s">
        <v>223</v>
      </c>
      <c r="B16" s="34" t="s">
        <v>224</v>
      </c>
      <c r="C16" s="34" t="s">
        <v>35</v>
      </c>
      <c r="D16" s="37" t="n">
        <f aca="false">0.785*b_A</f>
        <v>51.6216</v>
      </c>
    </row>
    <row r="17" customFormat="false" ht="15" hidden="false" customHeight="false" outlineLevel="0" collapsed="false">
      <c r="A17" s="34" t="s">
        <v>225</v>
      </c>
      <c r="B17" s="34" t="s">
        <v>226</v>
      </c>
      <c r="C17" s="34" t="s">
        <v>227</v>
      </c>
      <c r="D17" s="37" t="n">
        <f aca="false">b_bf*b_tf*(b_d-b_tf)+b_tw*(b_d-2*b_tf)^2/4</f>
        <v>1050.144</v>
      </c>
    </row>
    <row r="18" customFormat="false" ht="15" hidden="false" customHeight="false" outlineLevel="0" collapsed="false">
      <c r="A18" s="34" t="s">
        <v>228</v>
      </c>
      <c r="B18" s="34" t="s">
        <v>229</v>
      </c>
      <c r="C18" s="34" t="s">
        <v>222</v>
      </c>
      <c r="D18" s="37" t="n">
        <f aca="false">2*c_bf*c_tf+(c_d-2*c_tf)*c_tw</f>
        <v>122</v>
      </c>
    </row>
    <row r="19" customFormat="false" ht="15" hidden="false" customHeight="false" outlineLevel="0" collapsed="false">
      <c r="A19" s="34" t="s">
        <v>230</v>
      </c>
      <c r="B19" s="34" t="s">
        <v>231</v>
      </c>
      <c r="C19" s="34" t="s">
        <v>227</v>
      </c>
      <c r="D19" s="37" t="n">
        <f aca="false">c_bf*c_tf*(c_d-c_tf)+c_tw*(c_d-2*c_tf)^2/4</f>
        <v>2371</v>
      </c>
    </row>
    <row r="20" customFormat="false" ht="15" hidden="false" customHeight="false" outlineLevel="0" collapsed="false">
      <c r="A20" s="34" t="s">
        <v>232</v>
      </c>
      <c r="B20" s="34" t="s">
        <v>233</v>
      </c>
      <c r="C20" s="34" t="s">
        <v>85</v>
      </c>
      <c r="D20" s="36" t="n">
        <f aca="false">c_tf+co_kw/10</f>
        <v>2.1</v>
      </c>
    </row>
    <row r="21" customFormat="false" ht="15" hidden="false" customHeight="false" outlineLevel="0" collapsed="false">
      <c r="A21" s="34" t="s">
        <v>234</v>
      </c>
      <c r="B21" s="34" t="s">
        <v>235</v>
      </c>
      <c r="C21" s="34" t="s">
        <v>85</v>
      </c>
      <c r="D21" s="36" t="n">
        <f aca="false">pl_tp/10</f>
        <v>2.5</v>
      </c>
    </row>
    <row r="22" customFormat="false" ht="15" hidden="false" customHeight="false" outlineLevel="0" collapsed="false">
      <c r="A22" s="34" t="s">
        <v>236</v>
      </c>
      <c r="B22" s="34" t="s">
        <v>237</v>
      </c>
      <c r="C22" s="34" t="s">
        <v>85</v>
      </c>
      <c r="D22" s="36" t="n">
        <f aca="false">pl_bfp/10</f>
        <v>20</v>
      </c>
    </row>
    <row r="23" customFormat="false" ht="15" hidden="false" customHeight="false" outlineLevel="0" collapsed="false">
      <c r="A23" s="34" t="s">
        <v>238</v>
      </c>
      <c r="B23" s="34" t="s">
        <v>239</v>
      </c>
      <c r="C23" s="34" t="s">
        <v>85</v>
      </c>
      <c r="D23" s="36" t="n">
        <f aca="false">pl_g/10</f>
        <v>11</v>
      </c>
    </row>
    <row r="24" customFormat="false" ht="15" hidden="false" customHeight="false" outlineLevel="0" collapsed="false">
      <c r="A24" s="34" t="s">
        <v>240</v>
      </c>
      <c r="B24" s="34" t="s">
        <v>241</v>
      </c>
      <c r="C24" s="34" t="s">
        <v>85</v>
      </c>
      <c r="D24" s="36" t="n">
        <f aca="false">pl_S1/10</f>
        <v>7</v>
      </c>
    </row>
    <row r="25" customFormat="false" ht="15" hidden="false" customHeight="false" outlineLevel="0" collapsed="false">
      <c r="A25" s="34" t="s">
        <v>242</v>
      </c>
      <c r="B25" s="34" t="s">
        <v>243</v>
      </c>
      <c r="C25" s="34" t="s">
        <v>85</v>
      </c>
      <c r="D25" s="36" t="n">
        <f aca="false">pl_s/10</f>
        <v>7.5</v>
      </c>
    </row>
    <row r="26" customFormat="false" ht="15" hidden="false" customHeight="false" outlineLevel="0" collapsed="false">
      <c r="A26" s="34" t="s">
        <v>244</v>
      </c>
      <c r="B26" s="34" t="s">
        <v>178</v>
      </c>
      <c r="C26" s="34" t="s">
        <v>85</v>
      </c>
      <c r="D26" s="36" t="n">
        <f aca="false">pl_Le/10</f>
        <v>4.5</v>
      </c>
    </row>
    <row r="27" customFormat="false" ht="15" hidden="false" customHeight="false" outlineLevel="0" collapsed="false">
      <c r="A27" s="34" t="s">
        <v>245</v>
      </c>
      <c r="B27" s="34" t="s">
        <v>246</v>
      </c>
      <c r="C27" s="34" t="s">
        <v>42</v>
      </c>
      <c r="D27" s="35" t="n">
        <f aca="false">n_b/2</f>
        <v>4</v>
      </c>
    </row>
    <row r="28" customFormat="false" ht="15" hidden="false" customHeight="false" outlineLevel="0" collapsed="false">
      <c r="A28" s="34" t="s">
        <v>247</v>
      </c>
      <c r="B28" s="34" t="s">
        <v>248</v>
      </c>
      <c r="C28" s="34" t="s">
        <v>85</v>
      </c>
      <c r="D28" s="37" t="n">
        <f aca="false">p_S1+p_s*(p_nr-1)+p_Le</f>
        <v>34</v>
      </c>
    </row>
    <row r="29" customFormat="false" ht="15" hidden="false" customHeight="false" outlineLevel="0" collapsed="false">
      <c r="A29" s="34" t="s">
        <v>249</v>
      </c>
      <c r="B29" s="34" t="s">
        <v>250</v>
      </c>
      <c r="C29" s="34" t="s">
        <v>85</v>
      </c>
      <c r="D29" s="36" t="n">
        <f aca="false">p_S1-setback/10</f>
        <v>5.5</v>
      </c>
    </row>
    <row r="30" customFormat="false" ht="15" hidden="false" customHeight="false" outlineLevel="0" collapsed="false">
      <c r="A30" s="34" t="s">
        <v>251</v>
      </c>
      <c r="B30" s="34" t="s">
        <v>252</v>
      </c>
      <c r="C30" s="34" t="s">
        <v>253</v>
      </c>
      <c r="D30" s="36" t="n">
        <f aca="false">INDEX(CATALOGOS!$X$5:$X$10,MATCH(pn_diam,CATALOGOS!$W$5:$W$10,0))</f>
        <v>0.875</v>
      </c>
    </row>
    <row r="31" customFormat="false" ht="15" hidden="false" customHeight="false" outlineLevel="0" collapsed="false">
      <c r="A31" s="34" t="s">
        <v>251</v>
      </c>
      <c r="B31" s="34" t="s">
        <v>252</v>
      </c>
      <c r="C31" s="34" t="s">
        <v>85</v>
      </c>
      <c r="D31" s="36" t="n">
        <f aca="false">a_dbi*2.54</f>
        <v>2.2225</v>
      </c>
    </row>
    <row r="32" customFormat="false" ht="15" hidden="false" customHeight="false" outlineLevel="0" collapsed="false">
      <c r="A32" s="34" t="s">
        <v>254</v>
      </c>
      <c r="B32" s="34" t="s">
        <v>255</v>
      </c>
      <c r="C32" s="34" t="s">
        <v>222</v>
      </c>
      <c r="D32" s="36" t="n">
        <f aca="false">PI()*a_db^2/4</f>
        <v>3.87947913684022</v>
      </c>
    </row>
    <row r="33" customFormat="false" ht="15" hidden="false" customHeight="false" outlineLevel="0" collapsed="false">
      <c r="A33" s="34" t="s">
        <v>256</v>
      </c>
      <c r="B33" s="34" t="s">
        <v>257</v>
      </c>
      <c r="C33" s="34" t="s">
        <v>85</v>
      </c>
      <c r="D33" s="36" t="n">
        <f aca="false">IF(a_dbi&lt;1,a_dbi+1/16,a_dbi+1/8)*2.54</f>
        <v>2.38125</v>
      </c>
    </row>
    <row r="34" customFormat="false" ht="15" hidden="false" customHeight="false" outlineLevel="0" collapsed="false">
      <c r="A34" s="34" t="s">
        <v>258</v>
      </c>
      <c r="B34" s="34" t="s">
        <v>259</v>
      </c>
      <c r="C34" s="34" t="s">
        <v>85</v>
      </c>
      <c r="D34" s="36" t="n">
        <f aca="false">a_dh+0.15875</f>
        <v>2.54</v>
      </c>
    </row>
    <row r="35" customFormat="false" ht="15" hidden="false" customHeight="false" outlineLevel="0" collapsed="false">
      <c r="A35" s="34" t="s">
        <v>260</v>
      </c>
      <c r="B35" s="34" t="s">
        <v>261</v>
      </c>
      <c r="C35" s="34" t="s">
        <v>85</v>
      </c>
      <c r="D35" s="36" t="n">
        <f aca="false">INDEX(CATALOGOS!$Y$5:$Y$10,MATCH(pn_diam,CATALOGOS!$W$5:$W$10,0))*2.54</f>
        <v>2.8575</v>
      </c>
    </row>
    <row r="36" customFormat="false" ht="15" hidden="false" customHeight="false" outlineLevel="0" collapsed="false">
      <c r="A36" s="34" t="s">
        <v>262</v>
      </c>
      <c r="B36" s="34" t="s">
        <v>263</v>
      </c>
      <c r="C36" s="34" t="s">
        <v>51</v>
      </c>
      <c r="D36" s="35" t="n">
        <f aca="false">INDEX(CATALOGOS!$T$5:$T$9,MATCH(pn_grado,CATALOGOS!$S$5:$S$9,0))</f>
        <v>5906</v>
      </c>
    </row>
    <row r="37" customFormat="false" ht="15" hidden="false" customHeight="false" outlineLevel="0" collapsed="false">
      <c r="A37" s="33" t="s">
        <v>264</v>
      </c>
      <c r="B37" s="33"/>
      <c r="C37" s="33"/>
      <c r="D37" s="33"/>
    </row>
    <row r="38" customFormat="false" ht="15" hidden="false" customHeight="false" outlineLevel="0" collapsed="false">
      <c r="A38" s="34" t="s">
        <v>265</v>
      </c>
      <c r="B38" s="34" t="s">
        <v>266</v>
      </c>
      <c r="C38" s="34" t="s">
        <v>42</v>
      </c>
      <c r="D38" s="36" t="n">
        <f aca="false">MIN(1.2,(vg_Fy+vg_Fu)/(2*vg_Fy))</f>
        <v>1.15007112375533</v>
      </c>
    </row>
    <row r="39" customFormat="false" ht="15" hidden="false" customHeight="false" outlineLevel="0" collapsed="false">
      <c r="A39" s="34" t="s">
        <v>267</v>
      </c>
      <c r="B39" s="34" t="s">
        <v>268</v>
      </c>
      <c r="C39" s="34" t="s">
        <v>269</v>
      </c>
      <c r="D39" s="35" t="n">
        <f aca="false">s_Cpr*vg_Ry*vg_Fy*b_Zx</f>
        <v>4669727.832</v>
      </c>
    </row>
    <row r="40" customFormat="false" ht="15" hidden="false" customHeight="false" outlineLevel="0" collapsed="false">
      <c r="A40" s="34" t="s">
        <v>270</v>
      </c>
      <c r="B40" s="34" t="s">
        <v>271</v>
      </c>
      <c r="C40" s="34" t="s">
        <v>85</v>
      </c>
      <c r="D40" s="36" t="n">
        <f aca="false">b_bf/2*(1-vg_Ry*vg_Fy/(vg_Rt*vg_Fu))-0.3175</f>
        <v>2.33704048140044</v>
      </c>
    </row>
    <row r="41" customFormat="false" ht="15" hidden="false" customHeight="false" outlineLevel="0" collapsed="false">
      <c r="A41" s="34" t="s">
        <v>272</v>
      </c>
      <c r="B41" s="34" t="s">
        <v>273</v>
      </c>
      <c r="C41" s="34" t="s">
        <v>274</v>
      </c>
      <c r="D41" s="35" t="n">
        <f aca="false">MIN(a_Fnv*a_Ab,2.4*vg_Fu*a_db*b_tf,2.4*pl_Fu*a_db*p_tp)</f>
        <v>22912.2037821783</v>
      </c>
    </row>
    <row r="42" customFormat="false" ht="15" hidden="false" customHeight="false" outlineLevel="0" collapsed="false">
      <c r="A42" s="34" t="s">
        <v>275</v>
      </c>
      <c r="B42" s="34" t="s">
        <v>276</v>
      </c>
      <c r="C42" s="34" t="s">
        <v>42</v>
      </c>
      <c r="D42" s="38" t="n">
        <f aca="false">1.25*s_Mpr/(0.9*s_rn*(b_d+p_tp))</f>
        <v>6.66044550566466</v>
      </c>
    </row>
    <row r="43" customFormat="false" ht="15" hidden="false" customHeight="false" outlineLevel="0" collapsed="false">
      <c r="A43" s="34" t="s">
        <v>277</v>
      </c>
      <c r="B43" s="34" t="s">
        <v>278</v>
      </c>
      <c r="C43" s="34" t="s">
        <v>85</v>
      </c>
      <c r="D43" s="37" t="n">
        <f aca="false">p_S1+p_s*(p_nr-1)</f>
        <v>29.5</v>
      </c>
    </row>
    <row r="44" customFormat="false" ht="15" hidden="false" customHeight="false" outlineLevel="0" collapsed="false">
      <c r="A44" s="34" t="s">
        <v>279</v>
      </c>
      <c r="B44" s="34" t="s">
        <v>280</v>
      </c>
      <c r="C44" s="34" t="s">
        <v>85</v>
      </c>
      <c r="D44" s="37" t="n">
        <f aca="false">L_m*100-c_d-2*s_Sh</f>
        <v>691</v>
      </c>
    </row>
    <row r="45" customFormat="false" ht="15" hidden="false" customHeight="false" outlineLevel="0" collapsed="false">
      <c r="A45" s="34" t="s">
        <v>281</v>
      </c>
      <c r="B45" s="34" t="s">
        <v>282</v>
      </c>
      <c r="C45" s="34" t="s">
        <v>274</v>
      </c>
      <c r="D45" s="35" t="n">
        <f aca="false">2*s_Mpr/s_Lh+Vgrav*1000</f>
        <v>16515.8547959479</v>
      </c>
    </row>
    <row r="46" customFormat="false" ht="15" hidden="false" customHeight="false" outlineLevel="0" collapsed="false">
      <c r="A46" s="34" t="s">
        <v>283</v>
      </c>
      <c r="B46" s="34" t="s">
        <v>284</v>
      </c>
      <c r="C46" s="34" t="s">
        <v>269</v>
      </c>
      <c r="D46" s="35" t="n">
        <f aca="false">s_Mpr+s_Vh*s_Sh</f>
        <v>5156945.54848046</v>
      </c>
    </row>
    <row r="47" customFormat="false" ht="15" hidden="false" customHeight="false" outlineLevel="0" collapsed="false">
      <c r="A47" s="34" t="s">
        <v>285</v>
      </c>
      <c r="B47" s="34" t="s">
        <v>286</v>
      </c>
      <c r="C47" s="34" t="s">
        <v>274</v>
      </c>
      <c r="D47" s="35" t="n">
        <f aca="false">s_Mf/(b_d+p_tp)</f>
        <v>121339.895258364</v>
      </c>
    </row>
    <row r="48" customFormat="false" ht="15" hidden="false" customHeight="false" outlineLevel="0" collapsed="false">
      <c r="A48" s="34" t="s">
        <v>275</v>
      </c>
      <c r="B48" s="34" t="s">
        <v>287</v>
      </c>
      <c r="C48" s="34" t="s">
        <v>42</v>
      </c>
      <c r="D48" s="38" t="n">
        <f aca="false">s_Ff/(0.9*s_rn)</f>
        <v>5.88429236769858</v>
      </c>
    </row>
    <row r="49" customFormat="false" ht="15" hidden="false" customHeight="false" outlineLevel="0" collapsed="false">
      <c r="A49" s="34" t="s">
        <v>288</v>
      </c>
      <c r="B49" s="34" t="s">
        <v>289</v>
      </c>
      <c r="C49" s="34" t="s">
        <v>274</v>
      </c>
      <c r="D49" s="35" t="n">
        <f aca="false">s_Vh</f>
        <v>16515.8547959479</v>
      </c>
    </row>
    <row r="50" customFormat="false" ht="15" hidden="false" customHeight="false" outlineLevel="0" collapsed="false">
      <c r="A50" s="34" t="s">
        <v>290</v>
      </c>
      <c r="B50" s="34" t="s">
        <v>291</v>
      </c>
      <c r="C50" s="34" t="s">
        <v>85</v>
      </c>
      <c r="D50" s="37" t="n">
        <f aca="false">s_Sh+b_d</f>
        <v>69.5</v>
      </c>
    </row>
    <row r="51" customFormat="false" ht="15" hidden="false" customHeight="false" outlineLevel="0" collapsed="false">
      <c r="A51" s="33" t="s">
        <v>292</v>
      </c>
      <c r="B51" s="33"/>
      <c r="C51" s="33"/>
      <c r="D51" s="33"/>
    </row>
    <row r="52" customFormat="false" ht="15" hidden="false" customHeight="false" outlineLevel="0" collapsed="false">
      <c r="A52" s="34" t="s">
        <v>293</v>
      </c>
      <c r="B52" s="34" t="s">
        <v>294</v>
      </c>
      <c r="C52" s="34" t="s">
        <v>274</v>
      </c>
      <c r="D52" s="35" t="n">
        <f aca="false">1*pl_Fy*p_b*p_tp</f>
        <v>175750</v>
      </c>
    </row>
    <row r="53" customFormat="false" ht="15" hidden="false" customHeight="false" outlineLevel="0" collapsed="false">
      <c r="A53" s="34" t="s">
        <v>295</v>
      </c>
      <c r="B53" s="34" t="s">
        <v>296</v>
      </c>
      <c r="C53" s="34" t="s">
        <v>222</v>
      </c>
      <c r="D53" s="38" t="n">
        <f aca="false">MIN((p_b-2*a_dn)*p_tp,0.85*p_b*p_tp)</f>
        <v>37.3</v>
      </c>
    </row>
    <row r="54" customFormat="false" ht="15" hidden="false" customHeight="false" outlineLevel="0" collapsed="false">
      <c r="A54" s="34" t="s">
        <v>297</v>
      </c>
      <c r="B54" s="34" t="s">
        <v>298</v>
      </c>
      <c r="C54" s="34" t="s">
        <v>274</v>
      </c>
      <c r="D54" s="35" t="n">
        <f aca="false">0.9*pl_Fu*r_An</f>
        <v>153414.9</v>
      </c>
    </row>
    <row r="55" customFormat="false" ht="15" hidden="false" customHeight="false" outlineLevel="0" collapsed="false">
      <c r="A55" s="34" t="s">
        <v>297</v>
      </c>
      <c r="B55" s="34" t="s">
        <v>299</v>
      </c>
      <c r="C55" s="34" t="s">
        <v>274</v>
      </c>
      <c r="D55" s="35" t="n">
        <f aca="false">0.9*(MIN(0.6*pl_Fu*(2*((p_nr-1)*p_s+p_Le)*p_tp-2*(p_nr-0.5)*a_dn*p_tp),0.6*pl_Fy*2*((p_nr-1)*p_s+p_Le)*p_tp)+pl_Fu*(2*((p_b-p_g)/2-0.5*a_dn)*p_tp))</f>
        <v>289884.24</v>
      </c>
    </row>
    <row r="56" customFormat="false" ht="15" hidden="false" customHeight="false" outlineLevel="0" collapsed="false">
      <c r="A56" s="34" t="s">
        <v>297</v>
      </c>
      <c r="B56" s="34" t="s">
        <v>300</v>
      </c>
      <c r="C56" s="34" t="s">
        <v>274</v>
      </c>
      <c r="D56" s="35" t="n">
        <f aca="false">0.9*(MIN(0.6*pl_Fu*(2*((p_nr-1)*p_s+p_Le)*p_tp-2*(p_nr-0.5)*a_dn*p_tp),0.6*pl_Fy*2*((p_nr-1)*p_s+p_Le)*p_tp)+pl_Fu*((p_g-a_dn)*p_tp))</f>
        <v>310449.24</v>
      </c>
    </row>
    <row r="57" customFormat="false" ht="15" hidden="false" customHeight="false" outlineLevel="0" collapsed="false">
      <c r="A57" s="34" t="s">
        <v>297</v>
      </c>
      <c r="B57" s="34" t="s">
        <v>301</v>
      </c>
      <c r="C57" s="34" t="s">
        <v>274</v>
      </c>
      <c r="D57" s="35" t="n">
        <f aca="false">0.9*(MIN(0.6*vg_Fu*(2*((p_nr-1)*p_s+b_Le)*b_tf-2*(p_nr-0.5)*a_dn*b_tf),0.6*vg_Fy*2*((p_nr-1)*p_s+b_Le)*b_tf)+vg_Fu*(2*((b_bf-p_g)/2-0.5*a_dn)*b_tf))</f>
        <v>135195.9552</v>
      </c>
    </row>
    <row r="58" customFormat="false" ht="15" hidden="false" customHeight="false" outlineLevel="0" collapsed="false">
      <c r="A58" s="34" t="s">
        <v>297</v>
      </c>
      <c r="B58" s="34" t="s">
        <v>302</v>
      </c>
      <c r="C58" s="34" t="s">
        <v>274</v>
      </c>
      <c r="D58" s="35" t="n">
        <f aca="false">MIN(r_bsp1,r_bsp2)</f>
        <v>289884.24</v>
      </c>
    </row>
    <row r="59" customFormat="false" ht="15" hidden="false" customHeight="false" outlineLevel="0" collapsed="false">
      <c r="A59" s="34" t="s">
        <v>303</v>
      </c>
      <c r="B59" s="34" t="s">
        <v>304</v>
      </c>
      <c r="C59" s="34" t="s">
        <v>42</v>
      </c>
      <c r="D59" s="37" t="n">
        <f aca="false">0.65*p_S1/(p_tp/SQRT(12))</f>
        <v>6.30466493955071</v>
      </c>
    </row>
    <row r="60" customFormat="false" ht="15" hidden="false" customHeight="false" outlineLevel="0" collapsed="false">
      <c r="A60" s="34" t="s">
        <v>305</v>
      </c>
      <c r="B60" s="34" t="s">
        <v>306</v>
      </c>
      <c r="C60" s="34" t="s">
        <v>51</v>
      </c>
      <c r="D60" s="35" t="n">
        <f aca="false">PI()^2*k_E/MAX(r_KLr,0.01)^2</f>
        <v>506530.838118944</v>
      </c>
    </row>
    <row r="61" customFormat="false" ht="15" hidden="false" customHeight="false" outlineLevel="0" collapsed="false">
      <c r="A61" s="34" t="s">
        <v>307</v>
      </c>
      <c r="B61" s="34" t="s">
        <v>308</v>
      </c>
      <c r="C61" s="34" t="s">
        <v>51</v>
      </c>
      <c r="D61" s="35" t="n">
        <f aca="false">IF(r_KLr&lt;=25,pl_Fy,IF(pl_Fy/r_Fe&lt;=2.25,0.658^(pl_Fy/r_Fe)*pl_Fy,0.877*r_Fe))</f>
        <v>3515</v>
      </c>
    </row>
    <row r="62" customFormat="false" ht="15" hidden="false" customHeight="false" outlineLevel="0" collapsed="false">
      <c r="A62" s="34" t="s">
        <v>309</v>
      </c>
      <c r="B62" s="34" t="s">
        <v>310</v>
      </c>
      <c r="C62" s="34" t="s">
        <v>274</v>
      </c>
      <c r="D62" s="35" t="n">
        <f aca="false">0.9*r_Fcr*p_b*p_tp</f>
        <v>158175</v>
      </c>
    </row>
    <row r="63" customFormat="false" ht="15" hidden="false" customHeight="false" outlineLevel="0" collapsed="false">
      <c r="A63" s="34" t="s">
        <v>297</v>
      </c>
      <c r="B63" s="34" t="s">
        <v>311</v>
      </c>
      <c r="C63" s="34" t="s">
        <v>274</v>
      </c>
      <c r="D63" s="35" t="n">
        <f aca="false">0.9*2*(MIN(1.2*(p_Le-a_dh/2),2.4*a_db)+(p_nr-1)*MIN(1.2*(p_s-a_dh),2.4*a_db))*p_tp*pl_Fu</f>
        <v>410749.88625</v>
      </c>
    </row>
    <row r="64" customFormat="false" ht="15" hidden="false" customHeight="false" outlineLevel="0" collapsed="false">
      <c r="A64" s="34" t="s">
        <v>297</v>
      </c>
      <c r="B64" s="34" t="s">
        <v>312</v>
      </c>
      <c r="C64" s="34" t="s">
        <v>274</v>
      </c>
      <c r="D64" s="35" t="n">
        <f aca="false">0.9*2*(MIN(1.2*(b_Le-a_dh/2),2.4*a_db)+(p_nr-1)*MIN(1.2*(p_s-a_dh),2.4*a_db))*b_tf*vg_Fu</f>
        <v>209005.3854</v>
      </c>
    </row>
    <row r="65" customFormat="false" ht="15" hidden="false" customHeight="false" outlineLevel="0" collapsed="false">
      <c r="A65" s="33" t="s">
        <v>313</v>
      </c>
      <c r="B65" s="33"/>
      <c r="C65" s="33"/>
      <c r="D65" s="33"/>
    </row>
    <row r="66" customFormat="false" ht="15" hidden="false" customHeight="false" outlineLevel="0" collapsed="false">
      <c r="A66" s="34" t="s">
        <v>251</v>
      </c>
      <c r="B66" s="34" t="s">
        <v>314</v>
      </c>
      <c r="C66" s="34" t="s">
        <v>253</v>
      </c>
      <c r="D66" s="36" t="n">
        <f aca="false">INDEX(CATALOGOS!$X$5:$X$10,MATCH(w_diam,CATALOGOS!$W$5:$W$10,0))</f>
        <v>0.75</v>
      </c>
    </row>
    <row r="67" customFormat="false" ht="15" hidden="false" customHeight="false" outlineLevel="0" collapsed="false">
      <c r="A67" s="34" t="s">
        <v>251</v>
      </c>
      <c r="B67" s="34" t="s">
        <v>314</v>
      </c>
      <c r="C67" s="34" t="s">
        <v>85</v>
      </c>
      <c r="D67" s="36" t="n">
        <f aca="false">w_dbi*2.54</f>
        <v>1.905</v>
      </c>
    </row>
    <row r="68" customFormat="false" ht="15" hidden="false" customHeight="false" outlineLevel="0" collapsed="false">
      <c r="A68" s="34" t="s">
        <v>256</v>
      </c>
      <c r="B68" s="34" t="s">
        <v>315</v>
      </c>
      <c r="C68" s="34" t="s">
        <v>85</v>
      </c>
      <c r="D68" s="36" t="n">
        <f aca="false">IF(w_dbi&lt;1,w_dbi+1/16,w_dbi+1/8)*2.54</f>
        <v>2.06375</v>
      </c>
    </row>
    <row r="69" customFormat="false" ht="15" hidden="false" customHeight="false" outlineLevel="0" collapsed="false">
      <c r="A69" s="34" t="s">
        <v>316</v>
      </c>
      <c r="B69" s="34" t="s">
        <v>317</v>
      </c>
      <c r="C69" s="34" t="s">
        <v>85</v>
      </c>
      <c r="D69" s="37" t="n">
        <f aca="false">(w_n-1)*w_s/10+2*w_ev/10</f>
        <v>30.5</v>
      </c>
    </row>
    <row r="70" customFormat="false" ht="15" hidden="false" customHeight="false" outlineLevel="0" collapsed="false">
      <c r="A70" s="34" t="s">
        <v>318</v>
      </c>
      <c r="B70" s="34" t="s">
        <v>319</v>
      </c>
      <c r="C70" s="34" t="s">
        <v>51</v>
      </c>
      <c r="D70" s="35" t="n">
        <f aca="false">INDEX(CATALOGOS!$N$5:$N$12,MATCH(w_acero,CATALOGOS!$M$5:$M$12,0))</f>
        <v>2530</v>
      </c>
    </row>
    <row r="71" customFormat="false" ht="15" hidden="false" customHeight="false" outlineLevel="0" collapsed="false">
      <c r="A71" s="34" t="s">
        <v>320</v>
      </c>
      <c r="B71" s="34" t="s">
        <v>319</v>
      </c>
      <c r="C71" s="34" t="s">
        <v>51</v>
      </c>
      <c r="D71" s="35" t="n">
        <f aca="false">INDEX(CATALOGOS!$O$5:$O$12,MATCH(w_acero,CATALOGOS!$M$5:$M$12,0))</f>
        <v>4080</v>
      </c>
    </row>
    <row r="72" customFormat="false" ht="15" hidden="false" customHeight="false" outlineLevel="0" collapsed="false">
      <c r="A72" s="34" t="s">
        <v>321</v>
      </c>
      <c r="B72" s="34" t="s">
        <v>322</v>
      </c>
      <c r="C72" s="34" t="s">
        <v>274</v>
      </c>
      <c r="D72" s="35" t="n">
        <f aca="false">0.75*w_n*INDEX(CATALOGOS!$T$5:$T$9,MATCH(w_grado,CATALOGOS!$S$5:$S$9,0))*PI()*w_db^2/4</f>
        <v>32466.9650309977</v>
      </c>
    </row>
    <row r="73" customFormat="false" ht="15" hidden="false" customHeight="false" outlineLevel="0" collapsed="false">
      <c r="A73" s="34" t="s">
        <v>321</v>
      </c>
      <c r="B73" s="34" t="s">
        <v>323</v>
      </c>
      <c r="C73" s="34" t="s">
        <v>274</v>
      </c>
      <c r="D73" s="35" t="n">
        <f aca="false">0.75*(MIN(1.2*(w_ev/10-w_dh/2),2.4*w_db)+(w_n-1)*MIN(1.2*(w_s/10-w_dh),2.4*w_db))*MIN(b_tw*vg_Fu,w_t/10*w_Fu)</f>
        <v>35531.692875</v>
      </c>
    </row>
    <row r="74" customFormat="false" ht="15" hidden="false" customHeight="false" outlineLevel="0" collapsed="false">
      <c r="A74" s="34" t="s">
        <v>321</v>
      </c>
      <c r="B74" s="34" t="s">
        <v>324</v>
      </c>
      <c r="C74" s="34" t="s">
        <v>274</v>
      </c>
      <c r="D74" s="35" t="n">
        <f aca="false">1*0.6*w_Fy*w_Lp*w_t/10</f>
        <v>46299</v>
      </c>
    </row>
    <row r="75" customFormat="false" ht="15" hidden="false" customHeight="false" outlineLevel="0" collapsed="false">
      <c r="A75" s="34" t="s">
        <v>321</v>
      </c>
      <c r="B75" s="34" t="s">
        <v>325</v>
      </c>
      <c r="C75" s="34" t="s">
        <v>274</v>
      </c>
      <c r="D75" s="35" t="n">
        <f aca="false">0.75*0.6*w_Fu*(w_Lp-w_n*(w_dh+0.15875))*w_t/10</f>
        <v>39675.96</v>
      </c>
    </row>
    <row r="76" customFormat="false" ht="15" hidden="false" customHeight="false" outlineLevel="0" collapsed="false">
      <c r="A76" s="34" t="s">
        <v>326</v>
      </c>
      <c r="B76" s="34" t="s">
        <v>191</v>
      </c>
      <c r="C76" s="34" t="s">
        <v>51</v>
      </c>
      <c r="D76" s="35" t="n">
        <f aca="false">INDEX(CATALOGOS!$AB$5:$AB$6,MATCH(sd_elec,CATALOGOS!$AA$5:$AA$6,0))</f>
        <v>4920</v>
      </c>
    </row>
    <row r="77" customFormat="false" ht="15" hidden="false" customHeight="false" outlineLevel="0" collapsed="false">
      <c r="A77" s="34" t="s">
        <v>321</v>
      </c>
      <c r="B77" s="34" t="s">
        <v>327</v>
      </c>
      <c r="C77" s="34" t="s">
        <v>274</v>
      </c>
      <c r="D77" s="35" t="n">
        <f aca="false">0.75*0.6*w_FEXX*0.707*w_w/10*2*w_Lp</f>
        <v>76386.5424</v>
      </c>
    </row>
    <row r="78" customFormat="false" ht="15" hidden="false" customHeight="false" outlineLevel="0" collapsed="false">
      <c r="A78" s="33" t="s">
        <v>328</v>
      </c>
      <c r="B78" s="33"/>
      <c r="C78" s="33"/>
      <c r="D78" s="33"/>
    </row>
    <row r="79" customFormat="false" ht="15" hidden="false" customHeight="false" outlineLevel="0" collapsed="false">
      <c r="A79" s="34" t="s">
        <v>321</v>
      </c>
      <c r="B79" s="34" t="s">
        <v>329</v>
      </c>
      <c r="C79" s="34" t="s">
        <v>274</v>
      </c>
      <c r="D79" s="35" t="n">
        <f aca="false">0.9*6.25*co_Fy*c_tf^2*IF(co_dtop/10&lt;10*c_tf,0.5,1)</f>
        <v>44486.71875</v>
      </c>
    </row>
    <row r="80" customFormat="false" ht="15" hidden="false" customHeight="false" outlineLevel="0" collapsed="false">
      <c r="A80" s="34" t="s">
        <v>321</v>
      </c>
      <c r="B80" s="34" t="s">
        <v>330</v>
      </c>
      <c r="C80" s="34" t="s">
        <v>274</v>
      </c>
      <c r="D80" s="35" t="n">
        <f aca="false">1*(IF(co_dtop/10&gt;c_d,5,2.5)*c_k+p_tp)*co_Fy*c_tw</f>
        <v>45695</v>
      </c>
    </row>
    <row r="81" customFormat="false" ht="15" hidden="false" customHeight="false" outlineLevel="0" collapsed="false">
      <c r="A81" s="34" t="s">
        <v>321</v>
      </c>
      <c r="B81" s="34" t="s">
        <v>331</v>
      </c>
      <c r="C81" s="34" t="s">
        <v>274</v>
      </c>
      <c r="D81" s="35" t="n">
        <f aca="false">0.75*IF(co_dtop/10&gt;=c_d/2,0.8*(1+3*(p_tp/c_d)*(c_tw/c_tf)^1.5),0.4*IF(p_tp/c_d&lt;=0.2,1+3*(p_tp/c_d)*(c_tw/c_tf)^1.5,1+(4*p_tp/c_d-0.2)*(c_tw/c_tf)^1.5))*c_tw^2*SQRT(k_E*co_Fy*c_tf/c_tw)</f>
        <v>67307.1568362952</v>
      </c>
    </row>
    <row r="82" customFormat="false" ht="15" hidden="false" customHeight="false" outlineLevel="0" collapsed="false">
      <c r="A82" s="34" t="s">
        <v>321</v>
      </c>
      <c r="B82" s="34" t="s">
        <v>332</v>
      </c>
      <c r="C82" s="34" t="s">
        <v>274</v>
      </c>
      <c r="D82" s="35" t="n">
        <f aca="false">0.9*24*c_tw^3*SQRT(k_E*co_Fy)/(c_d-2*c_k)*IF(co_dtop/10&lt;c_d/2,0.5,1)</f>
        <v>39936.1340603236</v>
      </c>
    </row>
    <row r="83" customFormat="false" ht="15" hidden="false" customHeight="false" outlineLevel="0" collapsed="false">
      <c r="A83" s="34" t="s">
        <v>333</v>
      </c>
      <c r="B83" s="34" t="s">
        <v>334</v>
      </c>
      <c r="C83" s="34" t="s">
        <v>274</v>
      </c>
      <c r="D83" s="35" t="n">
        <f aca="false">MAX(0,s_Ff-MIN(j_Rfb,j_Rwy,j_Rwc,IF(dos_lados="Sí",j_Rwb,1000000000000)))</f>
        <v>76853.1765083639</v>
      </c>
    </row>
    <row r="84" customFormat="false" ht="15" hidden="false" customHeight="false" outlineLevel="0" collapsed="false">
      <c r="A84" s="34" t="s">
        <v>321</v>
      </c>
      <c r="B84" s="34" t="s">
        <v>335</v>
      </c>
      <c r="C84" s="34" t="s">
        <v>274</v>
      </c>
      <c r="D84" s="35" t="n">
        <f aca="false">0.9*co_Fy*2*cp_b/10*cp_t/10</f>
        <v>104395.5</v>
      </c>
    </row>
    <row r="85" customFormat="false" ht="15" hidden="false" customHeight="false" outlineLevel="0" collapsed="false">
      <c r="A85" s="34" t="s">
        <v>336</v>
      </c>
      <c r="B85" s="34" t="s">
        <v>337</v>
      </c>
      <c r="C85" s="34" t="s">
        <v>85</v>
      </c>
      <c r="D85" s="36" t="n">
        <f aca="false">c_tw+dp_t/10</f>
        <v>1.6</v>
      </c>
    </row>
    <row r="86" customFormat="false" ht="15" hidden="false" customHeight="false" outlineLevel="0" collapsed="false">
      <c r="A86" s="34" t="s">
        <v>338</v>
      </c>
      <c r="B86" s="34" t="s">
        <v>339</v>
      </c>
      <c r="C86" s="34" t="s">
        <v>274</v>
      </c>
      <c r="D86" s="35" t="n">
        <f aca="false">s_Mf*IF(dos_lados="Sí",2,1)/(b_d+p_tp)</f>
        <v>121339.895258364</v>
      </c>
    </row>
    <row r="87" customFormat="false" ht="15" hidden="false" customHeight="false" outlineLevel="0" collapsed="false">
      <c r="A87" s="34" t="s">
        <v>340</v>
      </c>
      <c r="B87" s="34" t="s">
        <v>341</v>
      </c>
      <c r="C87" s="34" t="s">
        <v>274</v>
      </c>
      <c r="D87" s="35" t="n">
        <f aca="false">co_Fy*c_A</f>
        <v>428830</v>
      </c>
    </row>
    <row r="88" customFormat="false" ht="15" hidden="false" customHeight="false" outlineLevel="0" collapsed="false">
      <c r="A88" s="34" t="s">
        <v>342</v>
      </c>
      <c r="B88" s="34" t="s">
        <v>343</v>
      </c>
      <c r="C88" s="34" t="s">
        <v>274</v>
      </c>
      <c r="D88" s="35" t="n">
        <f aca="false">1*0.6*co_Fy*c_d*j_tpz*(1+3*c_bf*c_tf^2/(b_d*c_d*j_tpz))*IF(Pu_col*1000&lt;=0.75*j_Py,1,1.9-1.2*Pu_col*1000/j_Py)</f>
        <v>177617.34375</v>
      </c>
    </row>
    <row r="89" customFormat="false" ht="15" hidden="false" customHeight="false" outlineLevel="0" collapsed="false">
      <c r="A89" s="34" t="s">
        <v>344</v>
      </c>
      <c r="B89" s="34" t="s">
        <v>345</v>
      </c>
      <c r="C89" s="34" t="s">
        <v>85</v>
      </c>
      <c r="D89" s="36" t="n">
        <f aca="false">(b_d+p_tp+c_d-2*c_tf)/90</f>
        <v>0.994444444444445</v>
      </c>
    </row>
    <row r="90" customFormat="false" ht="15" hidden="false" customHeight="false" outlineLevel="0" collapsed="false">
      <c r="A90" s="34" t="s">
        <v>346</v>
      </c>
      <c r="B90" s="34" t="s">
        <v>347</v>
      </c>
      <c r="C90" s="34" t="s">
        <v>269</v>
      </c>
      <c r="D90" s="35" t="n">
        <f aca="false">IF(dos_lados="Sí",2,1)*(s_Mpr+s_Vh*(s_Sh+c_d/2))</f>
        <v>5569841.91837916</v>
      </c>
    </row>
    <row r="91" customFormat="false" ht="15" hidden="false" customHeight="false" outlineLevel="0" collapsed="false">
      <c r="A91" s="34" t="s">
        <v>348</v>
      </c>
      <c r="B91" s="34" t="s">
        <v>349</v>
      </c>
      <c r="C91" s="34" t="s">
        <v>269</v>
      </c>
      <c r="D91" s="35" t="n">
        <f aca="false">2*c_Zx*MAX(0,co_Fy-Pu_col*1000/c_A)</f>
        <v>15890752.9508197</v>
      </c>
    </row>
    <row r="92" customFormat="false" ht="15" hidden="false" customHeight="false" outlineLevel="0" collapsed="false">
      <c r="A92" s="33" t="s">
        <v>350</v>
      </c>
      <c r="B92" s="33"/>
      <c r="C92" s="33"/>
      <c r="D92" s="33"/>
    </row>
    <row r="93" customFormat="false" ht="15" hidden="false" customHeight="false" outlineLevel="0" collapsed="false">
      <c r="A93" s="34" t="s">
        <v>351</v>
      </c>
      <c r="B93" s="34" t="s">
        <v>352</v>
      </c>
      <c r="C93" s="34" t="s">
        <v>42</v>
      </c>
      <c r="D93" s="37" t="n">
        <f aca="false">(L_m*100-c_d)/b_d</f>
        <v>18.75</v>
      </c>
    </row>
    <row r="94" customFormat="false" ht="15" hidden="false" customHeight="false" outlineLevel="0" collapsed="false">
      <c r="A94" s="34" t="s">
        <v>353</v>
      </c>
      <c r="B94" s="34" t="s">
        <v>354</v>
      </c>
      <c r="C94" s="34" t="s">
        <v>42</v>
      </c>
      <c r="D94" s="35" t="n">
        <f aca="false">IF(k_smf=1,9,7)</f>
        <v>7</v>
      </c>
    </row>
    <row r="95" customFormat="false" ht="15" hidden="false" customHeight="false" outlineLevel="0" collapsed="false">
      <c r="A95" s="34" t="s">
        <v>355</v>
      </c>
      <c r="B95" s="34" t="s">
        <v>356</v>
      </c>
      <c r="C95" s="34" t="s">
        <v>42</v>
      </c>
      <c r="D95" s="38" t="n">
        <f aca="false">b_bf/(2*b_tf)</f>
        <v>7.5</v>
      </c>
    </row>
    <row r="96" customFormat="false" ht="15" hidden="false" customHeight="false" outlineLevel="0" collapsed="false">
      <c r="A96" s="34" t="s">
        <v>357</v>
      </c>
      <c r="B96" s="34" t="s">
        <v>358</v>
      </c>
      <c r="C96" s="34" t="s">
        <v>42</v>
      </c>
      <c r="D96" s="38" t="n">
        <f aca="false">IF(k_smf=1,0.32,0.4)*SQRT(k_E/(vg_Ry*vg_Fy))</f>
        <v>9.18789593899783</v>
      </c>
    </row>
    <row r="97" customFormat="false" ht="15" hidden="false" customHeight="false" outlineLevel="0" collapsed="false">
      <c r="A97" s="34" t="s">
        <v>359</v>
      </c>
      <c r="B97" s="34" t="s">
        <v>360</v>
      </c>
      <c r="C97" s="34" t="s">
        <v>42</v>
      </c>
      <c r="D97" s="38" t="n">
        <f aca="false">(b_d-2*b_tf)/b_tw</f>
        <v>62.6666666666667</v>
      </c>
    </row>
    <row r="98" customFormat="false" ht="15" hidden="false" customHeight="false" outlineLevel="0" collapsed="false">
      <c r="A98" s="34" t="s">
        <v>357</v>
      </c>
      <c r="B98" s="34" t="s">
        <v>361</v>
      </c>
      <c r="C98" s="34" t="s">
        <v>42</v>
      </c>
      <c r="D98" s="38" t="n">
        <f aca="false">IF(k_smf=1,2.57,3.96)*SQRT(k_E/(vg_Ry*vg_Fy))</f>
        <v>90.9601697960785</v>
      </c>
    </row>
    <row r="99" customFormat="false" ht="15" hidden="false" customHeight="false" outlineLevel="0" collapsed="false">
      <c r="A99" s="34" t="s">
        <v>362</v>
      </c>
      <c r="B99" s="34" t="s">
        <v>363</v>
      </c>
      <c r="C99" s="34" t="s">
        <v>42</v>
      </c>
      <c r="D99" s="36" t="n">
        <f aca="false">Pu_col*1000/(0.9*co_Fy*c_A)</f>
        <v>0.0518205867645039</v>
      </c>
    </row>
    <row r="100" customFormat="false" ht="15" hidden="false" customHeight="false" outlineLevel="0" collapsed="false">
      <c r="A100" s="34" t="s">
        <v>364</v>
      </c>
      <c r="B100" s="34" t="s">
        <v>356</v>
      </c>
      <c r="C100" s="34" t="s">
        <v>42</v>
      </c>
      <c r="D100" s="38" t="n">
        <f aca="false">c_bf/(2*c_tf)</f>
        <v>8.33333333333333</v>
      </c>
    </row>
    <row r="101" customFormat="false" ht="15" hidden="false" customHeight="false" outlineLevel="0" collapsed="false">
      <c r="A101" s="34" t="s">
        <v>357</v>
      </c>
      <c r="B101" s="34" t="s">
        <v>365</v>
      </c>
      <c r="C101" s="34" t="s">
        <v>42</v>
      </c>
      <c r="D101" s="38" t="n">
        <f aca="false">IF(k_smf=1,0.32,0.4)*SQRT(k_E/(co_Ry*co_Fy))</f>
        <v>9.18789593899783</v>
      </c>
    </row>
    <row r="102" customFormat="false" ht="15" hidden="false" customHeight="false" outlineLevel="0" collapsed="false">
      <c r="A102" s="34" t="s">
        <v>366</v>
      </c>
      <c r="B102" s="34" t="s">
        <v>367</v>
      </c>
      <c r="C102" s="34" t="s">
        <v>42</v>
      </c>
      <c r="D102" s="38" t="n">
        <f aca="false">(c_d-2*c_tf)/c_tw</f>
        <v>47</v>
      </c>
    </row>
    <row r="103" customFormat="false" ht="15" hidden="false" customHeight="false" outlineLevel="0" collapsed="false">
      <c r="A103" s="34" t="s">
        <v>357</v>
      </c>
      <c r="B103" s="34" t="s">
        <v>368</v>
      </c>
      <c r="C103" s="34" t="s">
        <v>42</v>
      </c>
      <c r="D103" s="38" t="n">
        <f aca="false">SQRT(k_E/(co_Ry*co_Fy))*IF(k_smf=1,IF(q_Ca&lt;=0.114,2.57*(1-1.04*q_Ca)^2.3,MAX(0.88*(2.68-q_Ca),1.57)),IF(q_Ca&lt;=0.114,3.96*(1-3.04*q_Ca),MAX(1.29*(2.12-q_Ca),1.57)))</f>
        <v>76.6307973081422</v>
      </c>
    </row>
    <row r="104" customFormat="false" ht="15" hidden="false" customHeight="false" outlineLevel="0" collapsed="false">
      <c r="A104" s="34" t="s">
        <v>75</v>
      </c>
      <c r="B104" s="34" t="s">
        <v>369</v>
      </c>
      <c r="C104" s="34" t="s">
        <v>42</v>
      </c>
      <c r="D104" s="35" t="n">
        <f aca="false">IF(OR(pn_grado="A490-X (roscas excl.)",pn_grado="F2280-X (roscas excl.)"),1,0)</f>
        <v>1</v>
      </c>
    </row>
  </sheetData>
  <mergeCells count="6">
    <mergeCell ref="A4:D4"/>
    <mergeCell ref="A37:D37"/>
    <mergeCell ref="A51:D51"/>
    <mergeCell ref="A65:D65"/>
    <mergeCell ref="A78:D78"/>
    <mergeCell ref="A92:D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7" style="0" width="18"/>
    <col collapsed="false" customWidth="true" hidden="false" outlineLevel="0" max="13" min="13" style="0" width="20"/>
    <col collapsed="false" customWidth="true" hidden="false" outlineLevel="0" max="19" min="19" style="0" width="22"/>
    <col collapsed="false" customWidth="true" hidden="false" outlineLevel="0" max="24" min="23" style="0" width="8"/>
    <col collapsed="false" customWidth="true" hidden="false" outlineLevel="0" max="25" min="25" style="0" width="12"/>
    <col collapsed="false" customWidth="true" hidden="false" outlineLevel="0" max="27" min="27" style="0" width="10"/>
    <col collapsed="false" customWidth="true" hidden="false" outlineLevel="0" max="30" min="30" style="0" width="8"/>
    <col collapsed="false" customWidth="true" hidden="false" outlineLevel="0" max="32" min="32" style="0" width="8"/>
    <col collapsed="false" customWidth="true" hidden="false" outlineLevel="0" max="34" min="34" style="0" width="6"/>
    <col collapsed="false" customWidth="true" hidden="false" outlineLevel="0" max="36" min="36" style="0" width="6"/>
  </cols>
  <sheetData>
    <row r="1" customFormat="false" ht="15" hidden="false" customHeight="false" outlineLevel="0" collapsed="false">
      <c r="A1" s="39" t="s">
        <v>370</v>
      </c>
    </row>
    <row r="3" customFormat="false" ht="15" hidden="false" customHeight="false" outlineLevel="0" collapsed="false">
      <c r="A3" s="40" t="s">
        <v>371</v>
      </c>
      <c r="G3" s="40" t="s">
        <v>372</v>
      </c>
      <c r="M3" s="40" t="s">
        <v>373</v>
      </c>
      <c r="S3" s="40" t="s">
        <v>374</v>
      </c>
      <c r="W3" s="40" t="s">
        <v>375</v>
      </c>
      <c r="AA3" s="40" t="s">
        <v>191</v>
      </c>
      <c r="AD3" s="40" t="s">
        <v>376</v>
      </c>
      <c r="AF3" s="40" t="s">
        <v>377</v>
      </c>
      <c r="AH3" s="40" t="s">
        <v>378</v>
      </c>
      <c r="AJ3" s="40" t="s">
        <v>379</v>
      </c>
    </row>
    <row r="4" customFormat="false" ht="15" hidden="false" customHeight="false" outlineLevel="0" collapsed="false">
      <c r="A4" s="41" t="s">
        <v>380</v>
      </c>
      <c r="B4" s="41" t="s">
        <v>204</v>
      </c>
      <c r="C4" s="41" t="s">
        <v>381</v>
      </c>
      <c r="D4" s="41" t="s">
        <v>382</v>
      </c>
      <c r="E4" s="41" t="s">
        <v>383</v>
      </c>
      <c r="G4" s="41" t="s">
        <v>384</v>
      </c>
      <c r="H4" s="41" t="s">
        <v>204</v>
      </c>
      <c r="I4" s="41" t="s">
        <v>381</v>
      </c>
      <c r="J4" s="41" t="s">
        <v>382</v>
      </c>
      <c r="K4" s="41" t="s">
        <v>383</v>
      </c>
      <c r="M4" s="41" t="s">
        <v>46</v>
      </c>
      <c r="N4" s="41" t="s">
        <v>318</v>
      </c>
      <c r="O4" s="41" t="s">
        <v>320</v>
      </c>
      <c r="P4" s="41" t="s">
        <v>385</v>
      </c>
      <c r="Q4" s="41" t="s">
        <v>386</v>
      </c>
      <c r="S4" s="41" t="s">
        <v>154</v>
      </c>
      <c r="T4" s="41" t="s">
        <v>262</v>
      </c>
      <c r="U4" s="41" t="s">
        <v>387</v>
      </c>
      <c r="W4" s="41" t="s">
        <v>388</v>
      </c>
      <c r="X4" s="41" t="s">
        <v>389</v>
      </c>
      <c r="Y4" s="41" t="s">
        <v>390</v>
      </c>
      <c r="AA4" s="41" t="s">
        <v>191</v>
      </c>
      <c r="AB4" s="41" t="s">
        <v>326</v>
      </c>
      <c r="AD4" s="41" t="s">
        <v>391</v>
      </c>
      <c r="AF4" s="41" t="s">
        <v>377</v>
      </c>
      <c r="AH4" s="41" t="s">
        <v>392</v>
      </c>
      <c r="AJ4" s="41" t="s">
        <v>393</v>
      </c>
    </row>
    <row r="5" customFormat="false" ht="15" hidden="false" customHeight="false" outlineLevel="0" collapsed="false">
      <c r="A5" s="7" t="s">
        <v>394</v>
      </c>
      <c r="B5" s="7"/>
      <c r="C5" s="7"/>
      <c r="D5" s="7"/>
      <c r="E5" s="7"/>
      <c r="G5" s="7" t="s">
        <v>394</v>
      </c>
      <c r="H5" s="7"/>
      <c r="I5" s="7"/>
      <c r="J5" s="7"/>
      <c r="K5" s="7"/>
      <c r="M5" s="7" t="s">
        <v>189</v>
      </c>
      <c r="N5" s="7" t="n">
        <v>2530</v>
      </c>
      <c r="O5" s="7" t="n">
        <v>4080</v>
      </c>
      <c r="P5" s="7" t="n">
        <v>1.3</v>
      </c>
      <c r="Q5" s="7" t="n">
        <v>1.2</v>
      </c>
      <c r="S5" s="7" t="s">
        <v>155</v>
      </c>
      <c r="T5" s="7" t="n">
        <v>5906</v>
      </c>
      <c r="U5" s="7" t="n">
        <v>10545</v>
      </c>
      <c r="W5" s="7" t="s">
        <v>395</v>
      </c>
      <c r="X5" s="7" t="n">
        <v>0.625</v>
      </c>
      <c r="Y5" s="7" t="n">
        <v>0.875</v>
      </c>
      <c r="AA5" s="7" t="s">
        <v>396</v>
      </c>
      <c r="AB5" s="7" t="n">
        <v>4220</v>
      </c>
      <c r="AD5" s="7" t="s">
        <v>118</v>
      </c>
      <c r="AF5" s="7" t="s">
        <v>200</v>
      </c>
      <c r="AH5" s="7" t="n">
        <v>0</v>
      </c>
      <c r="AJ5" s="7" t="n">
        <v>4</v>
      </c>
    </row>
    <row r="6" customFormat="false" ht="15" hidden="false" customHeight="false" outlineLevel="0" collapsed="false">
      <c r="A6" s="7" t="s">
        <v>397</v>
      </c>
      <c r="B6" s="7" t="n">
        <v>300</v>
      </c>
      <c r="C6" s="7" t="n">
        <v>150</v>
      </c>
      <c r="D6" s="7" t="n">
        <v>4</v>
      </c>
      <c r="E6" s="7" t="n">
        <v>10</v>
      </c>
      <c r="G6" s="7" t="s">
        <v>398</v>
      </c>
      <c r="H6" s="7" t="n">
        <v>360</v>
      </c>
      <c r="I6" s="7" t="n">
        <v>180</v>
      </c>
      <c r="J6" s="7" t="n">
        <v>6</v>
      </c>
      <c r="K6" s="7" t="n">
        <v>12</v>
      </c>
      <c r="M6" s="7" t="s">
        <v>47</v>
      </c>
      <c r="N6" s="7" t="n">
        <v>3515</v>
      </c>
      <c r="O6" s="7" t="n">
        <v>4570</v>
      </c>
      <c r="P6" s="7" t="n">
        <v>1.1</v>
      </c>
      <c r="Q6" s="7" t="n">
        <v>1.2</v>
      </c>
      <c r="S6" s="7" t="s">
        <v>399</v>
      </c>
      <c r="T6" s="7" t="n">
        <v>5906</v>
      </c>
      <c r="U6" s="7" t="n">
        <v>10545</v>
      </c>
      <c r="W6" s="7" t="s">
        <v>181</v>
      </c>
      <c r="X6" s="7" t="n">
        <v>0.75</v>
      </c>
      <c r="Y6" s="7" t="n">
        <v>1</v>
      </c>
      <c r="AA6" s="7" t="s">
        <v>192</v>
      </c>
      <c r="AB6" s="7" t="n">
        <v>4920</v>
      </c>
      <c r="AD6" s="7" t="s">
        <v>109</v>
      </c>
      <c r="AF6" s="7" t="s">
        <v>16</v>
      </c>
      <c r="AH6" s="7" t="n">
        <v>6</v>
      </c>
      <c r="AJ6" s="7" t="n">
        <v>6</v>
      </c>
    </row>
    <row r="7" customFormat="false" ht="15" hidden="false" customHeight="false" outlineLevel="0" collapsed="false">
      <c r="A7" s="7" t="s">
        <v>400</v>
      </c>
      <c r="B7" s="7" t="n">
        <v>330</v>
      </c>
      <c r="C7" s="7" t="n">
        <v>160</v>
      </c>
      <c r="D7" s="7" t="n">
        <v>6</v>
      </c>
      <c r="E7" s="7" t="n">
        <v>10</v>
      </c>
      <c r="G7" s="7" t="s">
        <v>401</v>
      </c>
      <c r="H7" s="7" t="n">
        <v>400</v>
      </c>
      <c r="I7" s="7" t="n">
        <v>200</v>
      </c>
      <c r="J7" s="7" t="n">
        <v>8</v>
      </c>
      <c r="K7" s="7" t="n">
        <v>15</v>
      </c>
      <c r="M7" s="7" t="s">
        <v>402</v>
      </c>
      <c r="N7" s="7" t="n">
        <v>2530</v>
      </c>
      <c r="O7" s="7" t="n">
        <v>4080</v>
      </c>
      <c r="P7" s="7" t="n">
        <v>1.5</v>
      </c>
      <c r="Q7" s="7" t="n">
        <v>1.2</v>
      </c>
      <c r="S7" s="7" t="s">
        <v>403</v>
      </c>
      <c r="T7" s="7" t="n">
        <v>4781</v>
      </c>
      <c r="U7" s="7" t="n">
        <v>10545</v>
      </c>
      <c r="W7" s="7" t="s">
        <v>159</v>
      </c>
      <c r="X7" s="7" t="n">
        <v>0.875</v>
      </c>
      <c r="Y7" s="7" t="n">
        <v>1.125</v>
      </c>
      <c r="AH7" s="7" t="n">
        <v>8</v>
      </c>
      <c r="AJ7" s="7" t="n">
        <v>8</v>
      </c>
    </row>
    <row r="8" customFormat="false" ht="15" hidden="false" customHeight="false" outlineLevel="0" collapsed="false">
      <c r="A8" s="7" t="s">
        <v>404</v>
      </c>
      <c r="B8" s="7" t="n">
        <v>360</v>
      </c>
      <c r="C8" s="7" t="n">
        <v>180</v>
      </c>
      <c r="D8" s="7" t="n">
        <v>6</v>
      </c>
      <c r="E8" s="7" t="n">
        <v>10</v>
      </c>
      <c r="G8" s="7" t="s">
        <v>405</v>
      </c>
      <c r="H8" s="7" t="n">
        <v>440</v>
      </c>
      <c r="I8" s="7" t="n">
        <v>220</v>
      </c>
      <c r="J8" s="7" t="n">
        <v>8</v>
      </c>
      <c r="K8" s="7" t="n">
        <v>15</v>
      </c>
      <c r="M8" s="7" t="s">
        <v>406</v>
      </c>
      <c r="N8" s="7" t="n">
        <v>3515</v>
      </c>
      <c r="O8" s="7" t="n">
        <v>4570</v>
      </c>
      <c r="P8" s="7" t="n">
        <v>1.1</v>
      </c>
      <c r="Q8" s="7" t="n">
        <v>1.1</v>
      </c>
      <c r="S8" s="7" t="s">
        <v>407</v>
      </c>
      <c r="T8" s="7" t="n">
        <v>4781</v>
      </c>
      <c r="U8" s="7" t="n">
        <v>8436</v>
      </c>
      <c r="W8" s="7" t="s">
        <v>408</v>
      </c>
      <c r="X8" s="7" t="n">
        <v>1</v>
      </c>
      <c r="Y8" s="7" t="n">
        <v>1.25</v>
      </c>
      <c r="AH8" s="7" t="n">
        <v>10</v>
      </c>
      <c r="AJ8" s="7" t="n">
        <v>10</v>
      </c>
    </row>
    <row r="9" customFormat="false" ht="15" hidden="false" customHeight="false" outlineLevel="0" collapsed="false">
      <c r="A9" s="7" t="s">
        <v>409</v>
      </c>
      <c r="B9" s="7" t="n">
        <v>380</v>
      </c>
      <c r="C9" s="7" t="n">
        <v>180</v>
      </c>
      <c r="D9" s="7" t="n">
        <v>6</v>
      </c>
      <c r="E9" s="7" t="n">
        <v>10</v>
      </c>
      <c r="G9" s="7" t="s">
        <v>410</v>
      </c>
      <c r="H9" s="7" t="n">
        <v>480</v>
      </c>
      <c r="I9" s="7" t="n">
        <v>240</v>
      </c>
      <c r="J9" s="7" t="n">
        <v>8</v>
      </c>
      <c r="K9" s="7" t="n">
        <v>15</v>
      </c>
      <c r="M9" s="7" t="s">
        <v>411</v>
      </c>
      <c r="N9" s="7" t="n">
        <v>3515</v>
      </c>
      <c r="O9" s="7" t="n">
        <v>4570</v>
      </c>
      <c r="P9" s="7" t="n">
        <v>1.1</v>
      </c>
      <c r="Q9" s="7" t="n">
        <v>1.1</v>
      </c>
      <c r="S9" s="7" t="s">
        <v>179</v>
      </c>
      <c r="T9" s="7" t="n">
        <v>3797</v>
      </c>
      <c r="U9" s="7" t="n">
        <v>8436</v>
      </c>
      <c r="W9" s="7" t="s">
        <v>412</v>
      </c>
      <c r="X9" s="7" t="n">
        <v>1.125</v>
      </c>
      <c r="Y9" s="7" t="n">
        <v>1.5</v>
      </c>
      <c r="AH9" s="7" t="n">
        <v>12</v>
      </c>
      <c r="AJ9" s="7" t="n">
        <v>12</v>
      </c>
    </row>
    <row r="10" customFormat="false" ht="15" hidden="false" customHeight="false" outlineLevel="0" collapsed="false">
      <c r="A10" s="7" t="s">
        <v>413</v>
      </c>
      <c r="B10" s="7" t="n">
        <v>400</v>
      </c>
      <c r="C10" s="7" t="n">
        <v>180</v>
      </c>
      <c r="D10" s="7" t="n">
        <v>6</v>
      </c>
      <c r="E10" s="7" t="n">
        <v>10</v>
      </c>
      <c r="G10" s="7" t="s">
        <v>67</v>
      </c>
      <c r="H10" s="7" t="n">
        <v>500</v>
      </c>
      <c r="I10" s="7" t="n">
        <v>250</v>
      </c>
      <c r="J10" s="7" t="n">
        <v>10</v>
      </c>
      <c r="K10" s="7" t="n">
        <v>15</v>
      </c>
      <c r="W10" s="7" t="s">
        <v>414</v>
      </c>
      <c r="X10" s="7" t="n">
        <v>1.25</v>
      </c>
      <c r="Y10" s="7" t="n">
        <v>1.625</v>
      </c>
      <c r="AH10" s="7" t="n">
        <v>15</v>
      </c>
      <c r="AJ10" s="7" t="n">
        <v>14</v>
      </c>
    </row>
    <row r="11" customFormat="false" ht="15" hidden="false" customHeight="false" outlineLevel="0" collapsed="false">
      <c r="A11" s="7" t="s">
        <v>27</v>
      </c>
      <c r="B11" s="7" t="n">
        <v>400</v>
      </c>
      <c r="C11" s="7" t="n">
        <v>180</v>
      </c>
      <c r="D11" s="7" t="n">
        <v>6</v>
      </c>
      <c r="E11" s="7" t="n">
        <v>12</v>
      </c>
      <c r="G11" s="7" t="s">
        <v>415</v>
      </c>
      <c r="H11" s="7" t="n">
        <v>520</v>
      </c>
      <c r="I11" s="7" t="n">
        <v>260</v>
      </c>
      <c r="J11" s="7" t="n">
        <v>10</v>
      </c>
      <c r="K11" s="7" t="n">
        <v>15</v>
      </c>
      <c r="AH11" s="7" t="n">
        <v>16</v>
      </c>
      <c r="AJ11" s="7" t="n">
        <v>16</v>
      </c>
    </row>
    <row r="12" customFormat="false" ht="15" hidden="false" customHeight="false" outlineLevel="0" collapsed="false">
      <c r="A12" s="7" t="s">
        <v>416</v>
      </c>
      <c r="B12" s="7" t="n">
        <v>420</v>
      </c>
      <c r="C12" s="7" t="n">
        <v>180</v>
      </c>
      <c r="D12" s="7" t="n">
        <v>6</v>
      </c>
      <c r="E12" s="7" t="n">
        <v>12</v>
      </c>
      <c r="G12" s="7" t="s">
        <v>417</v>
      </c>
      <c r="H12" s="7" t="n">
        <v>540</v>
      </c>
      <c r="I12" s="7" t="n">
        <v>270</v>
      </c>
      <c r="J12" s="7" t="n">
        <v>10</v>
      </c>
      <c r="K12" s="7" t="n">
        <v>15</v>
      </c>
      <c r="AH12" s="7" t="n">
        <v>19</v>
      </c>
      <c r="AJ12" s="7" t="n">
        <v>18</v>
      </c>
    </row>
    <row r="13" customFormat="false" ht="15" hidden="false" customHeight="false" outlineLevel="0" collapsed="false">
      <c r="A13" s="7" t="s">
        <v>418</v>
      </c>
      <c r="B13" s="7" t="n">
        <v>440</v>
      </c>
      <c r="C13" s="7" t="n">
        <v>180</v>
      </c>
      <c r="D13" s="7" t="n">
        <v>6</v>
      </c>
      <c r="E13" s="7" t="n">
        <v>12</v>
      </c>
      <c r="G13" s="7" t="s">
        <v>419</v>
      </c>
      <c r="H13" s="7" t="n">
        <v>356</v>
      </c>
      <c r="I13" s="7" t="n">
        <v>368</v>
      </c>
      <c r="J13" s="7" t="n">
        <v>11.2</v>
      </c>
      <c r="K13" s="7" t="n">
        <v>18</v>
      </c>
      <c r="AH13" s="7" t="n">
        <v>20</v>
      </c>
      <c r="AJ13" s="7" t="n">
        <v>20</v>
      </c>
    </row>
    <row r="14" customFormat="false" ht="15" hidden="false" customHeight="false" outlineLevel="0" collapsed="false">
      <c r="A14" s="7" t="s">
        <v>420</v>
      </c>
      <c r="B14" s="7" t="n">
        <v>351</v>
      </c>
      <c r="C14" s="7" t="n">
        <v>171</v>
      </c>
      <c r="D14" s="7" t="n">
        <v>6.9</v>
      </c>
      <c r="E14" s="7" t="n">
        <v>9.8</v>
      </c>
      <c r="G14" s="7" t="s">
        <v>421</v>
      </c>
      <c r="H14" s="7" t="n">
        <v>368</v>
      </c>
      <c r="I14" s="7" t="n">
        <v>373</v>
      </c>
      <c r="J14" s="7" t="n">
        <v>15</v>
      </c>
      <c r="K14" s="7" t="n">
        <v>23.9</v>
      </c>
      <c r="AH14" s="7" t="n">
        <v>22</v>
      </c>
    </row>
    <row r="15" customFormat="false" ht="15" hidden="false" customHeight="false" outlineLevel="0" collapsed="false">
      <c r="A15" s="7" t="s">
        <v>422</v>
      </c>
      <c r="B15" s="7" t="n">
        <v>407</v>
      </c>
      <c r="C15" s="7" t="n">
        <v>178</v>
      </c>
      <c r="D15" s="7" t="n">
        <v>7.7</v>
      </c>
      <c r="E15" s="7" t="n">
        <v>12.8</v>
      </c>
      <c r="G15" s="7" t="s">
        <v>423</v>
      </c>
      <c r="H15" s="7" t="n">
        <v>381</v>
      </c>
      <c r="I15" s="7" t="n">
        <v>395</v>
      </c>
      <c r="J15" s="7" t="n">
        <v>18.9</v>
      </c>
      <c r="K15" s="7" t="n">
        <v>30.2</v>
      </c>
      <c r="AH15" s="7" t="n">
        <v>25</v>
      </c>
    </row>
    <row r="16" customFormat="false" ht="15" hidden="false" customHeight="false" outlineLevel="0" collapsed="false">
      <c r="A16" s="7" t="s">
        <v>424</v>
      </c>
      <c r="B16" s="7" t="n">
        <v>457</v>
      </c>
      <c r="C16" s="7" t="n">
        <v>190</v>
      </c>
      <c r="D16" s="7" t="n">
        <v>9</v>
      </c>
      <c r="E16" s="7" t="n">
        <v>14.5</v>
      </c>
      <c r="G16" s="7" t="s">
        <v>425</v>
      </c>
      <c r="H16" s="7" t="n">
        <v>622</v>
      </c>
      <c r="I16" s="7" t="n">
        <v>327</v>
      </c>
      <c r="J16" s="7" t="n">
        <v>15.4</v>
      </c>
      <c r="K16" s="7" t="n">
        <v>24.4</v>
      </c>
      <c r="AH16" s="7" t="n">
        <v>28</v>
      </c>
    </row>
    <row r="17" customFormat="false" ht="15" hidden="false" customHeight="false" outlineLevel="0" collapsed="false">
      <c r="A17" s="7" t="s">
        <v>426</v>
      </c>
      <c r="B17" s="7" t="n">
        <v>533</v>
      </c>
      <c r="C17" s="7" t="n">
        <v>209</v>
      </c>
      <c r="D17" s="7" t="n">
        <v>10.2</v>
      </c>
      <c r="E17" s="7" t="n">
        <v>15.6</v>
      </c>
      <c r="AH17" s="7" t="n">
        <v>30</v>
      </c>
    </row>
    <row r="18" customFormat="false" ht="15" hidden="false" customHeight="false" outlineLevel="0" collapsed="false">
      <c r="A18" s="7" t="s">
        <v>427</v>
      </c>
      <c r="B18" s="7" t="n">
        <v>608</v>
      </c>
      <c r="C18" s="7" t="n">
        <v>228</v>
      </c>
      <c r="D18" s="7" t="n">
        <v>11.2</v>
      </c>
      <c r="E18" s="7" t="n">
        <v>17.3</v>
      </c>
      <c r="AH18" s="7" t="n">
        <v>32</v>
      </c>
    </row>
    <row r="19" customFormat="false" ht="15" hidden="false" customHeight="false" outlineLevel="0" collapsed="false">
      <c r="A19" s="7" t="s">
        <v>428</v>
      </c>
      <c r="B19" s="7" t="n">
        <v>684</v>
      </c>
      <c r="C19" s="7" t="n">
        <v>254</v>
      </c>
      <c r="D19" s="7" t="n">
        <v>12.4</v>
      </c>
      <c r="E19" s="7" t="n">
        <v>18.9</v>
      </c>
      <c r="AH19" s="7" t="n">
        <v>35</v>
      </c>
    </row>
    <row r="20" customFormat="false" ht="15" hidden="false" customHeight="false" outlineLevel="0" collapsed="false">
      <c r="A20" s="7" t="s">
        <v>429</v>
      </c>
      <c r="B20" s="7" t="n">
        <v>758</v>
      </c>
      <c r="C20" s="7" t="n">
        <v>266</v>
      </c>
      <c r="D20" s="7" t="n">
        <v>13.8</v>
      </c>
      <c r="E20" s="7" t="n">
        <v>19.3</v>
      </c>
      <c r="AH20" s="7" t="n">
        <v>38</v>
      </c>
    </row>
    <row r="21" customFormat="false" ht="15" hidden="false" customHeight="false" outlineLevel="0" collapsed="false">
      <c r="AH21" s="7" t="n">
        <v>40</v>
      </c>
    </row>
    <row r="22" customFormat="false" ht="15" hidden="false" customHeight="false" outlineLevel="0" collapsed="false">
      <c r="AH22" s="7" t="n">
        <v>45</v>
      </c>
    </row>
    <row r="23" customFormat="false" ht="15" hidden="false" customHeight="false" outlineLevel="0" collapsed="false">
      <c r="AH23" s="7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2" t="s">
        <v>430</v>
      </c>
    </row>
    <row r="2" customFormat="false" ht="15" hidden="false" customHeight="false" outlineLevel="0" collapsed="false">
      <c r="D2" s="43" t="s">
        <v>431</v>
      </c>
      <c r="G2" s="43" t="s">
        <v>432</v>
      </c>
      <c r="J2" s="43" t="s">
        <v>433</v>
      </c>
      <c r="M2" s="43" t="s">
        <v>434</v>
      </c>
      <c r="P2" s="43" t="s">
        <v>435</v>
      </c>
      <c r="S2" s="43" t="s">
        <v>384</v>
      </c>
      <c r="V2" s="43" t="s">
        <v>436</v>
      </c>
      <c r="Y2" s="43" t="s">
        <v>437</v>
      </c>
      <c r="AB2" s="43" t="s">
        <v>438</v>
      </c>
      <c r="AE2" s="43" t="s">
        <v>439</v>
      </c>
      <c r="AH2" s="43" t="s">
        <v>440</v>
      </c>
      <c r="AK2" s="43" t="s">
        <v>441</v>
      </c>
      <c r="AN2" s="43" t="s">
        <v>442</v>
      </c>
      <c r="AQ2" s="43" t="s">
        <v>443</v>
      </c>
      <c r="AT2" s="43" t="s">
        <v>444</v>
      </c>
      <c r="AW2" s="43" t="s">
        <v>434</v>
      </c>
      <c r="AZ2" s="43" t="s">
        <v>445</v>
      </c>
      <c r="BC2" s="43" t="s">
        <v>446</v>
      </c>
    </row>
    <row r="3" customFormat="false" ht="15" hidden="false" customHeight="false" outlineLevel="0" collapsed="false">
      <c r="A3" s="0" t="s">
        <v>447</v>
      </c>
      <c r="B3" s="0" t="n">
        <f aca="false">MAX(p_Lp+12,s_Sh+0.6*b_d)</f>
        <v>53.5</v>
      </c>
    </row>
    <row r="4" customFormat="false" ht="15" hidden="false" customHeight="false" outlineLevel="0" collapsed="false">
      <c r="A4" s="0" t="s">
        <v>448</v>
      </c>
      <c r="B4" s="0" t="n">
        <f aca="false">(-c_tf+dLb)/2</f>
        <v>26</v>
      </c>
      <c r="D4" s="0" t="n">
        <f aca="false">((-c_tf)-dxp)/dSp</f>
        <v>-0.952380952380952</v>
      </c>
      <c r="E4" s="0" t="n">
        <f aca="false">(-c_bf/2)/dSp</f>
        <v>-0.432900432900433</v>
      </c>
      <c r="G4" s="0" t="n">
        <f aca="false">((dLb)-dxp)/dSp</f>
        <v>0.952380952380952</v>
      </c>
      <c r="H4" s="0" t="n">
        <f aca="false">(b_bf/2)/dSp</f>
        <v>0.311688311688312</v>
      </c>
      <c r="J4" s="0" t="n">
        <f aca="false">((0)-dxp)/dSp</f>
        <v>-0.900432900432901</v>
      </c>
      <c r="K4" s="0" t="n">
        <f aca="false">(-p_b/2)/dSp</f>
        <v>-0.346320346320346</v>
      </c>
      <c r="M4" s="0" t="n">
        <f aca="false">((s_Sh)-dxp)/dSp</f>
        <v>0.121212121212121</v>
      </c>
      <c r="N4" s="0" t="n">
        <f aca="false">(-MAX(b_bf,p_b)/2-3)/dSp</f>
        <v>-0.45021645021645</v>
      </c>
      <c r="P4" s="0" t="n">
        <f aca="false">((p_S1+p_s*MIN(0,p_nr-1))-dxp)/dSp</f>
        <v>-0.658008658008658</v>
      </c>
      <c r="Q4" s="0" t="n">
        <f aca="false">(-p_g/2)/dSp</f>
        <v>-0.19047619047619</v>
      </c>
      <c r="S4" s="0" t="n">
        <f aca="false">((-c_d)-dxe)/dSe</f>
        <v>-0.952380952380952</v>
      </c>
      <c r="T4" s="0" t="n">
        <f aca="false">(-dHc)/dSe</f>
        <v>-0.634920634920635</v>
      </c>
      <c r="V4" s="0" t="n">
        <f aca="false">((-c_tf)-dxe)/dSe</f>
        <v>-0.0598113641591902</v>
      </c>
      <c r="W4" s="0" t="n">
        <f aca="false">(-dHc)/dSe</f>
        <v>-0.634920634920635</v>
      </c>
      <c r="Y4" s="0" t="n">
        <f aca="false">((-c_d+c_tf)-dxe)/dSe</f>
        <v>-0.924775707384403</v>
      </c>
      <c r="Z4" s="0" t="n">
        <f aca="false">(-dHc)/dSe</f>
        <v>-0.634920634920635</v>
      </c>
      <c r="AB4" s="0" t="n">
        <f aca="false">((-c_d+c_tf)-dxe)/dSe</f>
        <v>-0.924775707384403</v>
      </c>
      <c r="AC4" s="0" t="n">
        <f aca="false">((b_d/2+p_tp/2))/dSe</f>
        <v>0.391074304117782</v>
      </c>
      <c r="AE4" s="0" t="n">
        <f aca="false">((-c_d+c_tf)-dxe)/dSe</f>
        <v>-0.924775707384403</v>
      </c>
      <c r="AF4" s="0" t="n">
        <f aca="false">(-(b_d/2+p_tp/2))/dSe</f>
        <v>-0.391074304117782</v>
      </c>
      <c r="AH4" s="0" t="n">
        <f aca="false">((setback/10)-dxe)/dSe</f>
        <v>-0.00460087416609156</v>
      </c>
      <c r="AI4" s="0" t="n">
        <f aca="false">(b_d/2-b_tf)/dSe</f>
        <v>0.345985737290085</v>
      </c>
      <c r="AK4" s="0" t="n">
        <f aca="false">((setback/10)-dxe)/dSe</f>
        <v>-0.00460087416609156</v>
      </c>
      <c r="AL4" s="0" t="n">
        <f aca="false">(-b_d/2)/dSe</f>
        <v>-0.368069933287325</v>
      </c>
      <c r="AN4" s="0" t="n">
        <f aca="false">((0)-dxe)/dSe</f>
        <v>-0.0322061191626409</v>
      </c>
      <c r="AO4" s="0" t="n">
        <f aca="false">(b_d/2)/dSe</f>
        <v>0.368069933287325</v>
      </c>
      <c r="AQ4" s="0" t="n">
        <f aca="false">((0)-dxe)/dSe</f>
        <v>-0.0322061191626409</v>
      </c>
      <c r="AR4" s="0" t="n">
        <f aca="false">(-b_d/2-p_tp)/dSe</f>
        <v>-0.41407867494824</v>
      </c>
      <c r="AT4" s="0" t="n">
        <f aca="false">((0)-dxe)/dSe</f>
        <v>-0.0322061191626409</v>
      </c>
      <c r="AU4" s="0" t="n">
        <f aca="false">(-w_Lp/2)/dSe</f>
        <v>-0.280653324131585</v>
      </c>
      <c r="AW4" s="0" t="n">
        <f aca="false">((s_Sh)-dxe)/dSe</f>
        <v>0.510697032436163</v>
      </c>
      <c r="AX4" s="0" t="n">
        <f aca="false">(-b_d/2-p_tp-3)/dSe</f>
        <v>-0.469289164941339</v>
      </c>
      <c r="AZ4" s="0" t="n">
        <f aca="false">((p_S1+p_s*MIN(0,p_nr-1))-dxe)/dSe</f>
        <v>0.0966183574879227</v>
      </c>
      <c r="BA4" s="0" t="n">
        <f aca="false">(b_d/2+p_tp/2-b_tf/2)/dSe</f>
        <v>0.380032206119163</v>
      </c>
      <c r="BC4" s="0" t="n">
        <f aca="false">((setback/10+w_ev/10)-dxe)/dSe</f>
        <v>0.0690131124913734</v>
      </c>
      <c r="BD4" s="0" t="n">
        <f aca="false">(-w_Lp/2+w_ev/10+w_s/10*MIN(0,w_n-1))/dSe</f>
        <v>-0.20703933747412</v>
      </c>
    </row>
    <row r="5" customFormat="false" ht="15" hidden="false" customHeight="false" outlineLevel="0" collapsed="false">
      <c r="A5" s="0" t="s">
        <v>449</v>
      </c>
      <c r="B5" s="0" t="n">
        <f aca="false">MAX(c_tf+dLb,c_bf,p_b)/2*1.05</f>
        <v>28.875</v>
      </c>
      <c r="D5" s="0" t="n">
        <f aca="false">((-c_tf)-dxp)/dSp</f>
        <v>-0.952380952380952</v>
      </c>
      <c r="E5" s="0" t="n">
        <f aca="false">(c_bf/2)/dSp</f>
        <v>0.432900432900433</v>
      </c>
      <c r="G5" s="0" t="n">
        <f aca="false">((setback/10)-dxp)/dSp</f>
        <v>-0.848484848484849</v>
      </c>
      <c r="H5" s="0" t="n">
        <f aca="false">(b_bf/2)/dSp</f>
        <v>0.311688311688312</v>
      </c>
      <c r="J5" s="0" t="n">
        <f aca="false">((0)-dxp)/dSp</f>
        <v>-0.900432900432901</v>
      </c>
      <c r="K5" s="0" t="n">
        <f aca="false">(p_b/2)/dSp</f>
        <v>0.346320346320346</v>
      </c>
      <c r="M5" s="0" t="n">
        <f aca="false">((s_Sh)-dxp)/dSp</f>
        <v>0.121212121212121</v>
      </c>
      <c r="N5" s="0" t="n">
        <f aca="false">(MAX(b_bf,p_b)/2+3)/dSp</f>
        <v>0.45021645021645</v>
      </c>
      <c r="P5" s="0" t="n">
        <f aca="false">((p_S1+p_s*MIN(0,p_nr-1))-dxp)/dSp</f>
        <v>-0.658008658008658</v>
      </c>
      <c r="Q5" s="0" t="n">
        <f aca="false">(p_g/2)/dSp</f>
        <v>0.19047619047619</v>
      </c>
      <c r="S5" s="0" t="n">
        <f aca="false">((-c_d)-dxe)/dSe</f>
        <v>-0.952380952380952</v>
      </c>
      <c r="T5" s="0" t="n">
        <f aca="false">(dHc)/dSe</f>
        <v>0.634920634920635</v>
      </c>
      <c r="V5" s="0" t="n">
        <f aca="false">((-c_tf)-dxe)/dSe</f>
        <v>-0.0598113641591902</v>
      </c>
      <c r="W5" s="0" t="n">
        <f aca="false">(dHc)/dSe</f>
        <v>0.634920634920635</v>
      </c>
      <c r="Y5" s="0" t="n">
        <f aca="false">((-c_d+c_tf)-dxe)/dSe</f>
        <v>-0.924775707384403</v>
      </c>
      <c r="Z5" s="0" t="n">
        <f aca="false">(dHc)/dSe</f>
        <v>0.634920634920635</v>
      </c>
      <c r="AB5" s="0" t="n">
        <f aca="false">((IF(cp_usar="Sí",-c_tf,-c_d+c_tf))-dxe)/dSe</f>
        <v>-0.0598113641591902</v>
      </c>
      <c r="AC5" s="0" t="n">
        <f aca="false">((b_d/2+p_tp/2))/dSe</f>
        <v>0.391074304117782</v>
      </c>
      <c r="AE5" s="0" t="n">
        <f aca="false">((IF(cp_usar="Sí",-c_tf,-c_d+c_tf))-dxe)/dSe</f>
        <v>-0.0598113641591902</v>
      </c>
      <c r="AF5" s="0" t="n">
        <f aca="false">(-(b_d/2+p_tp/2))/dSe</f>
        <v>-0.391074304117782</v>
      </c>
      <c r="AH5" s="0" t="n">
        <f aca="false">((setback/10)-dxe)/dSe</f>
        <v>-0.00460087416609156</v>
      </c>
      <c r="AI5" s="0" t="n">
        <f aca="false">(b_d/2)/dSe</f>
        <v>0.368069933287325</v>
      </c>
      <c r="AK5" s="0" t="n">
        <f aca="false">((setback/10)-dxe)/dSe</f>
        <v>-0.00460087416609156</v>
      </c>
      <c r="AL5" s="0" t="n">
        <f aca="false">(-b_d/2+b_tf)/dSe</f>
        <v>-0.345985737290085</v>
      </c>
      <c r="AN5" s="0" t="n">
        <f aca="false">((0)-dxe)/dSe</f>
        <v>-0.0322061191626409</v>
      </c>
      <c r="AO5" s="0" t="n">
        <f aca="false">(b_d/2+p_tp)/dSe</f>
        <v>0.41407867494824</v>
      </c>
      <c r="AQ5" s="0" t="n">
        <f aca="false">((0)-dxe)/dSe</f>
        <v>-0.0322061191626409</v>
      </c>
      <c r="AR5" s="0" t="n">
        <f aca="false">(-b_d/2)/dSe</f>
        <v>-0.368069933287325</v>
      </c>
      <c r="AT5" s="0" t="n">
        <f aca="false">((0)-dxe)/dSe</f>
        <v>-0.0322061191626409</v>
      </c>
      <c r="AU5" s="0" t="n">
        <f aca="false">(w_Lp/2)/dSe</f>
        <v>0.280653324131585</v>
      </c>
      <c r="AW5" s="0" t="n">
        <f aca="false">((s_Sh)-dxe)/dSe</f>
        <v>0.510697032436163</v>
      </c>
      <c r="AX5" s="0" t="n">
        <f aca="false">(b_d/2+p_tp+3)/dSe</f>
        <v>0.469289164941339</v>
      </c>
      <c r="AZ5" s="0" t="n">
        <f aca="false">((p_S1+p_s*MIN(0,p_nr-1))-dxe)/dSe</f>
        <v>0.0966183574879227</v>
      </c>
      <c r="BA5" s="0" t="n">
        <f aca="false">(-(b_d/2+p_tp/2-b_tf/2))/dSe</f>
        <v>-0.380032206119163</v>
      </c>
      <c r="BC5" s="0" t="n">
        <f aca="false">((setback/10+w_ev/10)-dxe)/dSe</f>
        <v>0.0690131124913734</v>
      </c>
      <c r="BD5" s="0" t="n">
        <f aca="false">(-w_Lp/2+w_ev/10+w_s/10*MIN(1,w_n-1))/dSe</f>
        <v>-0.0690131124913734</v>
      </c>
    </row>
    <row r="6" customFormat="false" ht="15" hidden="false" customHeight="false" outlineLevel="0" collapsed="false">
      <c r="A6" s="0" t="s">
        <v>450</v>
      </c>
      <c r="B6" s="0" t="n">
        <f aca="false">(-c_d+dLb)/2</f>
        <v>1.75</v>
      </c>
      <c r="D6" s="0" t="n">
        <f aca="false">((0)-dxp)/dSp</f>
        <v>-0.900432900432901</v>
      </c>
      <c r="E6" s="0" t="n">
        <f aca="false">(c_bf/2)/dSp</f>
        <v>0.432900432900433</v>
      </c>
      <c r="G6" s="0" t="n">
        <f aca="false">((setback/10)-dxp)/dSp</f>
        <v>-0.848484848484849</v>
      </c>
      <c r="H6" s="0" t="n">
        <f aca="false">(-b_bf/2)/dSp</f>
        <v>-0.311688311688312</v>
      </c>
      <c r="J6" s="0" t="n">
        <f aca="false">((p_Lp)-dxp)/dSp</f>
        <v>0.277056277056277</v>
      </c>
      <c r="K6" s="0" t="n">
        <f aca="false">(p_b/2)/dSp</f>
        <v>0.346320346320346</v>
      </c>
      <c r="P6" s="0" t="n">
        <f aca="false">((p_S1+p_s*MIN(1,p_nr-1))-dxp)/dSp</f>
        <v>-0.398268398268398</v>
      </c>
      <c r="Q6" s="0" t="n">
        <f aca="false">(-p_g/2)/dSp</f>
        <v>-0.19047619047619</v>
      </c>
      <c r="S6" s="0" t="n">
        <f aca="false">((0)-dxe)/dSe</f>
        <v>-0.0322061191626409</v>
      </c>
      <c r="T6" s="0" t="n">
        <f aca="false">(dHc)/dSe</f>
        <v>0.634920634920635</v>
      </c>
      <c r="AH6" s="0" t="n">
        <f aca="false">((dLb)-dxe)/dSe</f>
        <v>0.952380952380952</v>
      </c>
      <c r="AI6" s="0" t="n">
        <f aca="false">(b_d/2)/dSe</f>
        <v>0.368069933287325</v>
      </c>
      <c r="AK6" s="0" t="n">
        <f aca="false">((dLb)-dxe)/dSe</f>
        <v>0.952380952380952</v>
      </c>
      <c r="AL6" s="0" t="n">
        <f aca="false">(-b_d/2+b_tf)/dSe</f>
        <v>-0.345985737290085</v>
      </c>
      <c r="AN6" s="0" t="n">
        <f aca="false">((p_Lp)-dxe)/dSe</f>
        <v>0.593512767425811</v>
      </c>
      <c r="AO6" s="0" t="n">
        <f aca="false">(b_d/2+p_tp)/dSe</f>
        <v>0.41407867494824</v>
      </c>
      <c r="AQ6" s="0" t="n">
        <f aca="false">((p_Lp)-dxe)/dSe</f>
        <v>0.593512767425811</v>
      </c>
      <c r="AR6" s="0" t="n">
        <f aca="false">(-b_d/2)/dSe</f>
        <v>-0.368069933287325</v>
      </c>
      <c r="AT6" s="0" t="n">
        <f aca="false">((setback/10+2*w_ev/10)-dxe)/dSe</f>
        <v>0.142627099148838</v>
      </c>
      <c r="AU6" s="0" t="n">
        <f aca="false">(w_Lp/2)/dSe</f>
        <v>0.280653324131585</v>
      </c>
      <c r="AZ6" s="0" t="n">
        <f aca="false">((p_S1+p_s*MIN(1,p_nr-1))-dxe)/dSe</f>
        <v>0.234644582470669</v>
      </c>
      <c r="BA6" s="0" t="n">
        <f aca="false">(b_d/2+p_tp/2-b_tf/2)/dSe</f>
        <v>0.380032206119163</v>
      </c>
      <c r="BC6" s="0" t="n">
        <f aca="false">((setback/10+w_ev/10)-dxe)/dSe</f>
        <v>0.0690131124913734</v>
      </c>
      <c r="BD6" s="0" t="n">
        <f aca="false">(-w_Lp/2+w_ev/10+w_s/10*MIN(2,w_n-1))/dSe</f>
        <v>0.0690131124913734</v>
      </c>
    </row>
    <row r="7" customFormat="false" ht="15" hidden="false" customHeight="false" outlineLevel="0" collapsed="false">
      <c r="A7" s="0" t="s">
        <v>451</v>
      </c>
      <c r="B7" s="0" t="n">
        <f aca="false">b_d/2+p_tp+12</f>
        <v>34.5</v>
      </c>
      <c r="D7" s="0" t="n">
        <f aca="false">((0)-dxp)/dSp</f>
        <v>-0.900432900432901</v>
      </c>
      <c r="E7" s="0" t="n">
        <f aca="false">(-c_bf/2)/dSp</f>
        <v>-0.432900432900433</v>
      </c>
      <c r="G7" s="0" t="n">
        <f aca="false">((dLb)-dxp)/dSp</f>
        <v>0.952380952380952</v>
      </c>
      <c r="H7" s="0" t="n">
        <f aca="false">(-b_bf/2)/dSp</f>
        <v>-0.311688311688312</v>
      </c>
      <c r="J7" s="0" t="n">
        <f aca="false">((p_Lp)-dxp)/dSp</f>
        <v>0.277056277056277</v>
      </c>
      <c r="K7" s="0" t="n">
        <f aca="false">(-p_b/2)/dSp</f>
        <v>-0.346320346320346</v>
      </c>
      <c r="P7" s="0" t="n">
        <f aca="false">((p_S1+p_s*MIN(1,p_nr-1))-dxp)/dSp</f>
        <v>-0.398268398268398</v>
      </c>
      <c r="Q7" s="0" t="n">
        <f aca="false">(p_g/2)/dSp</f>
        <v>0.19047619047619</v>
      </c>
      <c r="S7" s="0" t="n">
        <f aca="false">((0)-dxe)/dSe</f>
        <v>-0.0322061191626409</v>
      </c>
      <c r="T7" s="0" t="n">
        <f aca="false">(-dHc)/dSe</f>
        <v>-0.634920634920635</v>
      </c>
      <c r="AH7" s="0" t="n">
        <f aca="false">((dLb)-dxe)/dSe</f>
        <v>0.952380952380952</v>
      </c>
      <c r="AI7" s="0" t="n">
        <f aca="false">(b_d/2-b_tf)/dSe</f>
        <v>0.345985737290085</v>
      </c>
      <c r="AK7" s="0" t="n">
        <f aca="false">((dLb)-dxe)/dSe</f>
        <v>0.952380952380952</v>
      </c>
      <c r="AL7" s="0" t="n">
        <f aca="false">(-b_d/2)/dSe</f>
        <v>-0.368069933287325</v>
      </c>
      <c r="AN7" s="0" t="n">
        <f aca="false">((p_Lp)-dxe)/dSe</f>
        <v>0.593512767425811</v>
      </c>
      <c r="AO7" s="0" t="n">
        <f aca="false">(b_d/2)/dSe</f>
        <v>0.368069933287325</v>
      </c>
      <c r="AQ7" s="0" t="n">
        <f aca="false">((p_Lp)-dxe)/dSe</f>
        <v>0.593512767425811</v>
      </c>
      <c r="AR7" s="0" t="n">
        <f aca="false">(-b_d/2-p_tp)/dSe</f>
        <v>-0.41407867494824</v>
      </c>
      <c r="AT7" s="0" t="n">
        <f aca="false">((setback/10+2*w_ev/10)-dxe)/dSe</f>
        <v>0.142627099148838</v>
      </c>
      <c r="AU7" s="0" t="n">
        <f aca="false">(-w_Lp/2)/dSe</f>
        <v>-0.280653324131585</v>
      </c>
      <c r="AZ7" s="0" t="n">
        <f aca="false">((p_S1+p_s*MIN(1,p_nr-1))-dxe)/dSe</f>
        <v>0.234644582470669</v>
      </c>
      <c r="BA7" s="0" t="n">
        <f aca="false">(-(b_d/2+p_tp/2-b_tf/2))/dSe</f>
        <v>-0.380032206119163</v>
      </c>
      <c r="BC7" s="0" t="n">
        <f aca="false">((setback/10+w_ev/10)-dxe)/dSe</f>
        <v>0.0690131124913734</v>
      </c>
      <c r="BD7" s="0" t="n">
        <f aca="false">(-w_Lp/2+w_ev/10+w_s/10*MIN(3,w_n-1))/dSe</f>
        <v>0.20703933747412</v>
      </c>
    </row>
    <row r="8" customFormat="false" ht="15" hidden="false" customHeight="false" outlineLevel="0" collapsed="false">
      <c r="A8" s="0" t="s">
        <v>452</v>
      </c>
      <c r="B8" s="0" t="n">
        <f aca="false">MAX(c_d+dLb,2*dHc)/2*1.05</f>
        <v>54.3375</v>
      </c>
      <c r="D8" s="0" t="n">
        <f aca="false">((-c_tf)-dxp)/dSp</f>
        <v>-0.952380952380952</v>
      </c>
      <c r="E8" s="0" t="n">
        <f aca="false">(-c_bf/2)/dSp</f>
        <v>-0.432900432900433</v>
      </c>
      <c r="J8" s="0" t="n">
        <f aca="false">((0)-dxp)/dSp</f>
        <v>-0.900432900432901</v>
      </c>
      <c r="K8" s="0" t="n">
        <f aca="false">(-p_b/2)/dSp</f>
        <v>-0.346320346320346</v>
      </c>
      <c r="P8" s="0" t="n">
        <f aca="false">((p_S1+p_s*MIN(2,p_nr-1))-dxp)/dSp</f>
        <v>-0.138528138528139</v>
      </c>
      <c r="Q8" s="0" t="n">
        <f aca="false">(-p_g/2)/dSp</f>
        <v>-0.19047619047619</v>
      </c>
      <c r="S8" s="0" t="n">
        <f aca="false">((-c_d)-dxe)/dSe</f>
        <v>-0.952380952380952</v>
      </c>
      <c r="T8" s="0" t="n">
        <f aca="false">(-dHc)/dSe</f>
        <v>-0.634920634920635</v>
      </c>
      <c r="AH8" s="0" t="n">
        <f aca="false">((setback/10)-dxe)/dSe</f>
        <v>-0.00460087416609156</v>
      </c>
      <c r="AI8" s="0" t="n">
        <f aca="false">(b_d/2-b_tf)/dSe</f>
        <v>0.345985737290085</v>
      </c>
      <c r="AK8" s="0" t="n">
        <f aca="false">((setback/10)-dxe)/dSe</f>
        <v>-0.00460087416609156</v>
      </c>
      <c r="AL8" s="0" t="n">
        <f aca="false">(-b_d/2)/dSe</f>
        <v>-0.368069933287325</v>
      </c>
      <c r="AN8" s="0" t="n">
        <f aca="false">((0)-dxe)/dSe</f>
        <v>-0.0322061191626409</v>
      </c>
      <c r="AO8" s="0" t="n">
        <f aca="false">(b_d/2)/dSe</f>
        <v>0.368069933287325</v>
      </c>
      <c r="AQ8" s="0" t="n">
        <f aca="false">((0)-dxe)/dSe</f>
        <v>-0.0322061191626409</v>
      </c>
      <c r="AR8" s="0" t="n">
        <f aca="false">(-b_d/2-p_tp)/dSe</f>
        <v>-0.41407867494824</v>
      </c>
      <c r="AT8" s="0" t="n">
        <f aca="false">((0)-dxe)/dSe</f>
        <v>-0.0322061191626409</v>
      </c>
      <c r="AU8" s="0" t="n">
        <f aca="false">(-w_Lp/2)/dSe</f>
        <v>-0.280653324131585</v>
      </c>
      <c r="AZ8" s="0" t="n">
        <f aca="false">((p_S1+p_s*MIN(2,p_nr-1))-dxe)/dSe</f>
        <v>0.372670807453416</v>
      </c>
      <c r="BA8" s="0" t="n">
        <f aca="false">(b_d/2+p_tp/2-b_tf/2)/dSe</f>
        <v>0.380032206119163</v>
      </c>
      <c r="BC8" s="0" t="n">
        <f aca="false">((setback/10+w_ev/10)-dxe)/dSe</f>
        <v>0.0690131124913734</v>
      </c>
      <c r="BD8" s="0" t="n">
        <f aca="false">(-w_Lp/2+w_ev/10+w_s/10*MIN(4,w_n-1))/dSe</f>
        <v>0.20703933747412</v>
      </c>
    </row>
    <row r="9" customFormat="false" ht="15" hidden="false" customHeight="false" outlineLevel="0" collapsed="false">
      <c r="P9" s="0" t="n">
        <f aca="false">((p_S1+p_s*MIN(2,p_nr-1))-dxp)/dSp</f>
        <v>-0.138528138528139</v>
      </c>
      <c r="Q9" s="0" t="n">
        <f aca="false">(p_g/2)/dSp</f>
        <v>0.19047619047619</v>
      </c>
      <c r="AZ9" s="0" t="n">
        <f aca="false">((p_S1+p_s*MIN(2,p_nr-1))-dxe)/dSe</f>
        <v>0.372670807453416</v>
      </c>
      <c r="BA9" s="0" t="n">
        <f aca="false">(-(b_d/2+p_tp/2-b_tf/2))/dSe</f>
        <v>-0.380032206119163</v>
      </c>
      <c r="BC9" s="0" t="n">
        <f aca="false">((setback/10+w_ev/10)-dxe)/dSe</f>
        <v>0.0690131124913734</v>
      </c>
      <c r="BD9" s="0" t="n">
        <f aca="false">(-w_Lp/2+w_ev/10+w_s/10*MIN(5,w_n-1))/dSe</f>
        <v>0.20703933747412</v>
      </c>
    </row>
    <row r="10" customFormat="false" ht="15" hidden="false" customHeight="false" outlineLevel="0" collapsed="false">
      <c r="P10" s="0" t="n">
        <f aca="false">((p_S1+p_s*MIN(3,p_nr-1))-dxp)/dSp</f>
        <v>0.121212121212121</v>
      </c>
      <c r="Q10" s="0" t="n">
        <f aca="false">(-p_g/2)/dSp</f>
        <v>-0.19047619047619</v>
      </c>
      <c r="AZ10" s="0" t="n">
        <f aca="false">((p_S1+p_s*MIN(3,p_nr-1))-dxe)/dSe</f>
        <v>0.510697032436163</v>
      </c>
      <c r="BA10" s="0" t="n">
        <f aca="false">(b_d/2+p_tp/2-b_tf/2)/dSe</f>
        <v>0.380032206119163</v>
      </c>
      <c r="BC10" s="0" t="n">
        <f aca="false">((setback/10+w_ev/10)-dxe)/dSe</f>
        <v>0.0690131124913734</v>
      </c>
      <c r="BD10" s="0" t="n">
        <f aca="false">(-w_Lp/2+w_ev/10+w_s/10*MIN(6,w_n-1))/dSe</f>
        <v>0.20703933747412</v>
      </c>
    </row>
    <row r="11" customFormat="false" ht="15" hidden="false" customHeight="false" outlineLevel="0" collapsed="false">
      <c r="P11" s="0" t="n">
        <f aca="false">((p_S1+p_s*MIN(3,p_nr-1))-dxp)/dSp</f>
        <v>0.121212121212121</v>
      </c>
      <c r="Q11" s="0" t="n">
        <f aca="false">(p_g/2)/dSp</f>
        <v>0.19047619047619</v>
      </c>
      <c r="AZ11" s="0" t="n">
        <f aca="false">((p_S1+p_s*MIN(3,p_nr-1))-dxe)/dSe</f>
        <v>0.510697032436163</v>
      </c>
      <c r="BA11" s="0" t="n">
        <f aca="false">(-(b_d/2+p_tp/2-b_tf/2))/dSe</f>
        <v>-0.380032206119163</v>
      </c>
      <c r="BC11" s="0" t="n">
        <f aca="false">((setback/10+w_ev/10)-dxe)/dSe</f>
        <v>0.0690131124913734</v>
      </c>
      <c r="BD11" s="0" t="n">
        <f aca="false">(-w_Lp/2+w_ev/10+w_s/10*MIN(7,w_n-1))/dSe</f>
        <v>0.20703933747412</v>
      </c>
    </row>
    <row r="12" customFormat="false" ht="15" hidden="false" customHeight="false" outlineLevel="0" collapsed="false">
      <c r="P12" s="0" t="n">
        <f aca="false">((p_S1+p_s*MIN(4,p_nr-1))-dxp)/dSp</f>
        <v>0.121212121212121</v>
      </c>
      <c r="Q12" s="0" t="n">
        <f aca="false">(-p_g/2)/dSp</f>
        <v>-0.19047619047619</v>
      </c>
      <c r="AZ12" s="0" t="n">
        <f aca="false">((p_S1+p_s*MIN(4,p_nr-1))-dxe)/dSe</f>
        <v>0.510697032436163</v>
      </c>
      <c r="BA12" s="0" t="n">
        <f aca="false">(b_d/2+p_tp/2-b_tf/2)/dSe</f>
        <v>0.380032206119163</v>
      </c>
    </row>
    <row r="13" customFormat="false" ht="15" hidden="false" customHeight="false" outlineLevel="0" collapsed="false">
      <c r="P13" s="0" t="n">
        <f aca="false">((p_S1+p_s*MIN(4,p_nr-1))-dxp)/dSp</f>
        <v>0.121212121212121</v>
      </c>
      <c r="Q13" s="0" t="n">
        <f aca="false">(p_g/2)/dSp</f>
        <v>0.19047619047619</v>
      </c>
      <c r="AZ13" s="0" t="n">
        <f aca="false">((p_S1+p_s*MIN(4,p_nr-1))-dxe)/dSe</f>
        <v>0.510697032436163</v>
      </c>
      <c r="BA13" s="0" t="n">
        <f aca="false">(-(b_d/2+p_tp/2-b_tf/2))/dSe</f>
        <v>-0.380032206119163</v>
      </c>
    </row>
    <row r="14" customFormat="false" ht="15" hidden="false" customHeight="false" outlineLevel="0" collapsed="false">
      <c r="P14" s="0" t="n">
        <f aca="false">((p_S1+p_s*MIN(5,p_nr-1))-dxp)/dSp</f>
        <v>0.121212121212121</v>
      </c>
      <c r="Q14" s="0" t="n">
        <f aca="false">(-p_g/2)/dSp</f>
        <v>-0.19047619047619</v>
      </c>
      <c r="AZ14" s="0" t="n">
        <f aca="false">((p_S1+p_s*MIN(5,p_nr-1))-dxe)/dSe</f>
        <v>0.510697032436163</v>
      </c>
      <c r="BA14" s="0" t="n">
        <f aca="false">(b_d/2+p_tp/2-b_tf/2)/dSe</f>
        <v>0.380032206119163</v>
      </c>
    </row>
    <row r="15" customFormat="false" ht="15" hidden="false" customHeight="false" outlineLevel="0" collapsed="false">
      <c r="P15" s="0" t="n">
        <f aca="false">((p_S1+p_s*MIN(5,p_nr-1))-dxp)/dSp</f>
        <v>0.121212121212121</v>
      </c>
      <c r="Q15" s="0" t="n">
        <f aca="false">(p_g/2)/dSp</f>
        <v>0.19047619047619</v>
      </c>
      <c r="AZ15" s="0" t="n">
        <f aca="false">((p_S1+p_s*MIN(5,p_nr-1))-dxe)/dSe</f>
        <v>0.510697032436163</v>
      </c>
      <c r="BA15" s="0" t="n">
        <f aca="false">(-(b_d/2+p_tp/2-b_tf/2))/dSe</f>
        <v>-0.380032206119163</v>
      </c>
    </row>
    <row r="16" customFormat="false" ht="15" hidden="false" customHeight="false" outlineLevel="0" collapsed="false">
      <c r="P16" s="0" t="n">
        <f aca="false">((p_S1+p_s*MIN(6,p_nr-1))-dxp)/dSp</f>
        <v>0.121212121212121</v>
      </c>
      <c r="Q16" s="0" t="n">
        <f aca="false">(-p_g/2)/dSp</f>
        <v>-0.19047619047619</v>
      </c>
      <c r="AZ16" s="0" t="n">
        <f aca="false">((p_S1+p_s*MIN(6,p_nr-1))-dxe)/dSe</f>
        <v>0.510697032436163</v>
      </c>
      <c r="BA16" s="0" t="n">
        <f aca="false">(b_d/2+p_tp/2-b_tf/2)/dSe</f>
        <v>0.380032206119163</v>
      </c>
    </row>
    <row r="17" customFormat="false" ht="15" hidden="false" customHeight="false" outlineLevel="0" collapsed="false">
      <c r="P17" s="0" t="n">
        <f aca="false">((p_S1+p_s*MIN(6,p_nr-1))-dxp)/dSp</f>
        <v>0.121212121212121</v>
      </c>
      <c r="Q17" s="0" t="n">
        <f aca="false">(p_g/2)/dSp</f>
        <v>0.19047619047619</v>
      </c>
      <c r="AZ17" s="0" t="n">
        <f aca="false">((p_S1+p_s*MIN(6,p_nr-1))-dxe)/dSe</f>
        <v>0.510697032436163</v>
      </c>
      <c r="BA17" s="0" t="n">
        <f aca="false">(-(b_d/2+p_tp/2-b_tf/2))/dSe</f>
        <v>-0.380032206119163</v>
      </c>
    </row>
    <row r="18" customFormat="false" ht="15" hidden="false" customHeight="false" outlineLevel="0" collapsed="false">
      <c r="P18" s="0" t="n">
        <f aca="false">((p_S1+p_s*MIN(7,p_nr-1))-dxp)/dSp</f>
        <v>0.121212121212121</v>
      </c>
      <c r="Q18" s="0" t="n">
        <f aca="false">(-p_g/2)/dSp</f>
        <v>-0.19047619047619</v>
      </c>
      <c r="AZ18" s="0" t="n">
        <f aca="false">((p_S1+p_s*MIN(7,p_nr-1))-dxe)/dSe</f>
        <v>0.510697032436163</v>
      </c>
      <c r="BA18" s="0" t="n">
        <f aca="false">(b_d/2+p_tp/2-b_tf/2)/dSe</f>
        <v>0.380032206119163</v>
      </c>
    </row>
    <row r="19" customFormat="false" ht="15" hidden="false" customHeight="false" outlineLevel="0" collapsed="false">
      <c r="P19" s="0" t="n">
        <f aca="false">((p_S1+p_s*MIN(7,p_nr-1))-dxp)/dSp</f>
        <v>0.121212121212121</v>
      </c>
      <c r="Q19" s="0" t="n">
        <f aca="false">(p_g/2)/dSp</f>
        <v>0.19047619047619</v>
      </c>
      <c r="AZ19" s="0" t="n">
        <f aca="false">((p_S1+p_s*MIN(7,p_nr-1))-dxe)/dSe</f>
        <v>0.510697032436163</v>
      </c>
      <c r="BA19" s="0" t="n">
        <f aca="false">(-(b_d/2+p_tp/2-b_tf/2))/dSe</f>
        <v>-0.380032206119163</v>
      </c>
    </row>
    <row r="20" customFormat="false" ht="15" hidden="false" customHeight="false" outlineLevel="0" collapsed="false">
      <c r="P20" s="0" t="n">
        <f aca="false">((p_S1+p_s*MIN(8,p_nr-1))-dxp)/dSp</f>
        <v>0.121212121212121</v>
      </c>
      <c r="Q20" s="0" t="n">
        <f aca="false">(-p_g/2)/dSp</f>
        <v>-0.19047619047619</v>
      </c>
      <c r="AZ20" s="0" t="n">
        <f aca="false">((p_S1+p_s*MIN(8,p_nr-1))-dxe)/dSe</f>
        <v>0.510697032436163</v>
      </c>
      <c r="BA20" s="0" t="n">
        <f aca="false">(b_d/2+p_tp/2-b_tf/2)/dSe</f>
        <v>0.380032206119163</v>
      </c>
    </row>
    <row r="21" customFormat="false" ht="15" hidden="false" customHeight="false" outlineLevel="0" collapsed="false">
      <c r="P21" s="0" t="n">
        <f aca="false">((p_S1+p_s*MIN(8,p_nr-1))-dxp)/dSp</f>
        <v>0.121212121212121</v>
      </c>
      <c r="Q21" s="0" t="n">
        <f aca="false">(p_g/2)/dSp</f>
        <v>0.19047619047619</v>
      </c>
      <c r="AZ21" s="0" t="n">
        <f aca="false">((p_S1+p_s*MIN(8,p_nr-1))-dxe)/dSe</f>
        <v>0.510697032436163</v>
      </c>
      <c r="BA21" s="0" t="n">
        <f aca="false">(-(b_d/2+p_tp/2-b_tf/2))/dSe</f>
        <v>-0.380032206119163</v>
      </c>
    </row>
    <row r="22" customFormat="false" ht="15" hidden="false" customHeight="false" outlineLevel="0" collapsed="false">
      <c r="P22" s="0" t="n">
        <f aca="false">((p_S1+p_s*MIN(9,p_nr-1))-dxp)/dSp</f>
        <v>0.121212121212121</v>
      </c>
      <c r="Q22" s="0" t="n">
        <f aca="false">(-p_g/2)/dSp</f>
        <v>-0.19047619047619</v>
      </c>
      <c r="AZ22" s="0" t="n">
        <f aca="false">((p_S1+p_s*MIN(9,p_nr-1))-dxe)/dSe</f>
        <v>0.510697032436163</v>
      </c>
      <c r="BA22" s="0" t="n">
        <f aca="false">(b_d/2+p_tp/2-b_tf/2)/dSe</f>
        <v>0.380032206119163</v>
      </c>
    </row>
    <row r="23" customFormat="false" ht="15" hidden="false" customHeight="false" outlineLevel="0" collapsed="false">
      <c r="P23" s="0" t="n">
        <f aca="false">((p_S1+p_s*MIN(9,p_nr-1))-dxp)/dSp</f>
        <v>0.121212121212121</v>
      </c>
      <c r="Q23" s="0" t="n">
        <f aca="false">(p_g/2)/dSp</f>
        <v>0.19047619047619</v>
      </c>
      <c r="AZ23" s="0" t="n">
        <f aca="false">((p_S1+p_s*MIN(9,p_nr-1))-dxe)/dSe</f>
        <v>0.510697032436163</v>
      </c>
      <c r="BA23" s="0" t="n">
        <f aca="false">(-(b_d/2+p_tp/2-b_tf/2))/dSe</f>
        <v>-0.380032206119163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2026-09-26T04:52:44Z</dcterms:created>
  <dc:creator>openpyxl</dc:creator>
  <dc:description/>
  <dc:language>en-US</dc:language>
  <cp:lastModifiedBy/>
  <dcterms:modified xsi:type="dcterms:W3CDTF">2026-09-26T04:52:49Z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