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DISEÑO!$A$1:$T$58</definedName>
    <definedName function="false" hidden="false" name="agujero" vbProcedure="false">DISEÑO!$C$42</definedName>
    <definedName function="false" hidden="false" name="an_acero" vbProcedure="false">DISEÑO!$C$52</definedName>
    <definedName function="false" hidden="false" name="an_Fu" vbProcedure="false">DISEÑO!$E$53</definedName>
    <definedName function="false" hidden="false" name="an_Fy" vbProcedure="false">DISEÑO!$C$53</definedName>
    <definedName function="false" hidden="false" name="an_gb" vbProcedure="false">DISEÑO!$C$57</definedName>
    <definedName function="false" hidden="false" name="an_gs" vbProcedure="false">DISEÑO!$C$58</definedName>
    <definedName function="false" hidden="false" name="an_lb" vbProcedure="false">DISEÑO!$C$54</definedName>
    <definedName function="false" hidden="false" name="an_ls" vbProcedure="false">DISEÑO!$C$55</definedName>
    <definedName function="false" hidden="false" name="an_t" vbProcedure="false">DISEÑO!$C$56</definedName>
    <definedName function="false" hidden="false" name="a_Ab" vbProcedure="false">CALCULO!$D$26</definedName>
    <definedName function="false" hidden="false" name="a_db" vbProcedure="false">CALCULO!$D$25</definedName>
    <definedName function="false" hidden="false" name="a_dbi" vbProcedure="false">CALCULO!$D$24</definedName>
    <definedName function="false" hidden="false" name="a_dh" vbProcedure="false">CALCULO!$D$27</definedName>
    <definedName function="false" hidden="false" name="a_dn" vbProcedure="false">CALCULO!$D$28</definedName>
    <definedName function="false" hidden="false" name="a_emin" vbProcedure="false">CALCULO!$D$30</definedName>
    <definedName function="false" hidden="false" name="a_Fnv" vbProcedure="false">CALCULO!$D$31</definedName>
    <definedName function="false" hidden="false" name="a_s" vbProcedure="false">CALCULO!$D$32</definedName>
    <definedName function="false" hidden="false" name="a_sl" vbProcedure="false">CALCULO!$D$29</definedName>
    <definedName function="false" hidden="false" name="b_bf" vbProcedure="false">CALCULO!$D$12</definedName>
    <definedName function="false" hidden="false" name="b_d" vbProcedure="false">CALCULO!$D$11</definedName>
    <definedName function="false" hidden="false" name="b_ho" vbProcedure="false">CALCULO!$D$23</definedName>
    <definedName function="false" hidden="false" name="b_k" vbProcedure="false">CALCULO!$D$19</definedName>
    <definedName function="false" hidden="false" name="b_Leh" vbProcedure="false">CALCULO!$D$42</definedName>
    <definedName function="false" hidden="false" name="b_Lev" vbProcedure="false">CALCULO!$D$36</definedName>
    <definedName function="false" hidden="false" name="b_tf" vbProcedure="false">CALCULO!$D$14</definedName>
    <definedName function="false" hidden="false" name="b_tw" vbProcedure="false">CALCULO!$D$13</definedName>
    <definedName function="false" hidden="false" name="cope_c" vbProcedure="false">DISEÑO!$C$25</definedName>
    <definedName function="false" hidden="false" name="cope_dc" vbProcedure="false">DISEÑO!$C$24</definedName>
    <definedName function="false" hidden="false" name="c_bot" vbProcedure="false">CALCULO!$D$21</definedName>
    <definedName function="false" hidden="false" name="c_c" vbProcedure="false">CALCULO!$D$22</definedName>
    <definedName function="false" hidden="false" name="c_top" vbProcedure="false">CALCULO!$D$20</definedName>
    <definedName function="false" hidden="false" name="destaje" vbProcedure="false">DISEÑO!$C$23</definedName>
    <definedName function="false" hidden="false" name="dH" vbProcedure="false">DIBUJO!$B$6</definedName>
    <definedName function="false" hidden="false" name="dSe" vbProcedure="false">DIBUJO!$B$7</definedName>
    <definedName function="false" hidden="false" name="dSp" vbProcedure="false">DIBUJO!$B$9</definedName>
    <definedName function="false" hidden="false" name="dWe" vbProcedure="false">DIBUJO!$B$10</definedName>
    <definedName function="false" hidden="false" name="dxc" vbProcedure="false">DIBUJO!$B$5</definedName>
    <definedName function="false" hidden="false" name="dxe" vbProcedure="false">DIBUJO!$B$3</definedName>
    <definedName function="false" hidden="false" name="dxf" vbProcedure="false">DIBUJO!$B$4</definedName>
    <definedName function="false" hidden="false" name="dZw" vbProcedure="false">DIBUJO!$B$8</definedName>
    <definedName function="false" hidden="false" name="e_Fu" vbProcedure="false">CALCULO!$D$39</definedName>
    <definedName function="false" hidden="false" name="e_Fy" vbProcedure="false">CALCULO!$D$38</definedName>
    <definedName function="false" hidden="false" name="e_L" vbProcedure="false">CALCULO!$D$34</definedName>
    <definedName function="false" hidden="false" name="e_Leh" vbProcedure="false">CALCULO!$D$41</definedName>
    <definedName function="false" hidden="false" name="e_Lev" vbProcedure="false">CALCULO!$D$33</definedName>
    <definedName function="false" hidden="false" name="e_t" vbProcedure="false">CALCULO!$D$37</definedName>
    <definedName function="false" hidden="false" name="e_top" vbProcedure="false">CALCULO!$D$35</definedName>
    <definedName function="false" hidden="false" name="e_xb" vbProcedure="false">CALCULO!$D$40</definedName>
    <definedName function="false" hidden="false" name="g_bf" vbProcedure="false">CALCULO!$D$16</definedName>
    <definedName function="false" hidden="false" name="g_d" vbProcedure="false">CALCULO!$D$15</definedName>
    <definedName function="false" hidden="false" name="g_tf" vbProcedure="false">CALCULO!$D$18</definedName>
    <definedName function="false" hidden="false" name="g_tw" vbProcedure="false">CALCULO!$D$17</definedName>
    <definedName function="false" hidden="false" name="k_E" vbProcedure="false">CALCULO!$D$9</definedName>
    <definedName function="false" hidden="false" name="k_R" vbProcedure="false">CALCULO!$D$10</definedName>
    <definedName function="false" hidden="false" name="lim_verde" vbProcedure="false">DISEÑO!$C$9</definedName>
    <definedName function="false" hidden="false" name="m_bs" vbProcedure="false">CALCULO!$D$62</definedName>
    <definedName function="false" hidden="false" name="m_bso" vbProcedure="false">CALCULO!$D$63</definedName>
    <definedName function="false" hidden="false" name="m_n" vbProcedure="false">CALCULO!$D$59</definedName>
    <definedName function="false" hidden="false" name="m_vr" vbProcedure="false">CALCULO!$D$61</definedName>
    <definedName function="false" hidden="false" name="m_vy" vbProcedure="false">CALCULO!$D$60</definedName>
    <definedName function="false" hidden="false" name="n_b" vbProcedure="false">DISEÑO!$C$38</definedName>
    <definedName function="false" hidden="false" name="pl_a" vbProcedure="false">DISEÑO!$C$47</definedName>
    <definedName function="false" hidden="false" name="pl_acero" vbProcedure="false">DISEÑO!$C$44</definedName>
    <definedName function="false" hidden="false" name="pl_Fu" vbProcedure="false">DISEÑO!$E$45</definedName>
    <definedName function="false" hidden="false" name="pl_Fy" vbProcedure="false">DISEÑO!$C$45</definedName>
    <definedName function="false" hidden="false" name="pl_Leh" vbProcedure="false">DISEÑO!$C$48</definedName>
    <definedName function="false" hidden="false" name="pl_tp" vbProcedure="false">DISEÑO!$C$46</definedName>
    <definedName function="false" hidden="false" name="pl_w" vbProcedure="false">DISEÑO!$C$50</definedName>
    <definedName function="false" hidden="false" name="pn_diam" vbProcedure="false">DISEÑO!$C$37</definedName>
    <definedName function="false" hidden="false" name="pn_grado" vbProcedure="false">DISEÑO!$C$36</definedName>
    <definedName function="false" hidden="false" name="pn_Lev" vbProcedure="false">DISEÑO!$C$41</definedName>
    <definedName function="false" hidden="false" name="pn_s" vbProcedure="false">DISEÑO!$C$39</definedName>
    <definedName function="false" hidden="false" name="pn_top" vbProcedure="false">DISEÑO!$C$40</definedName>
    <definedName function="false" hidden="false" name="p_e" vbProcedure="false">CALCULO!$D$44</definedName>
    <definedName function="false" hidden="false" name="p_Lce" vbProcedure="false">CALCULO!$D$51</definedName>
    <definedName function="false" hidden="false" name="p_Lcw" vbProcedure="false">CALCULO!$D$50</definedName>
    <definedName function="false" hidden="false" name="p_nsh" vbProcedure="false">CALCULO!$D$48</definedName>
    <definedName function="false" hidden="false" name="p_r" vbProcedure="false">CALCULO!$D$47</definedName>
    <definedName function="false" hidden="false" name="p_rbe" vbProcedure="false">CALCULO!$D$53</definedName>
    <definedName function="false" hidden="false" name="p_rbw" vbProcedure="false">CALCULO!$D$52</definedName>
    <definedName function="false" hidden="false" name="p_rv" vbProcedure="false">CALCULO!$D$49</definedName>
    <definedName function="false" hidden="false" name="p_Sy2" vbProcedure="false">CALCULO!$D$45</definedName>
    <definedName function="false" hidden="false" name="p_ym" vbProcedure="false">CALCULO!$D$46</definedName>
    <definedName function="false" hidden="false" name="q_rba" vbProcedure="false">CALCULO!$D$56</definedName>
    <definedName function="false" hidden="false" name="q_rbg" vbProcedure="false">CALCULO!$D$57</definedName>
    <definedName function="false" hidden="false" name="q_rv" vbProcedure="false">CALCULO!$D$55</definedName>
    <definedName function="false" hidden="false" name="Ru" vbProcedure="false">DISEÑO!$C$12</definedName>
    <definedName function="false" hidden="false" name="Ru_op" vbProcedure="false">DISEÑO!$C$13</definedName>
    <definedName function="false" hidden="false" name="sd_elec" vbProcedure="false">DISEÑO!$C$49</definedName>
    <definedName function="false" hidden="false" name="setback" vbProcedure="false">DISEÑO!$C$26</definedName>
    <definedName function="false" hidden="false" name="tipo" vbProcedure="false">DISEÑO!$C$11</definedName>
    <definedName function="false" hidden="false" name="t_da" vbProcedure="false">CALCULO!$D$7</definedName>
    <definedName function="false" hidden="false" name="t_pl" vbProcedure="false">CALCULO!$D$8</definedName>
    <definedName function="false" hidden="false" name="t_se" vbProcedure="false">CALCULO!$D$6</definedName>
    <definedName function="false" hidden="false" name="t_sp" vbProcedure="false">CALCULO!$D$5</definedName>
    <definedName function="false" hidden="false" name="vg_acero" vbProcedure="false">DISEÑO!$C$20</definedName>
    <definedName function="false" hidden="false" name="vg_bf_mm" vbProcedure="false">DISEÑO!$C$17</definedName>
    <definedName function="false" hidden="false" name="vg_d_mm" vbProcedure="false">DISEÑO!$C$16</definedName>
    <definedName function="false" hidden="false" name="vg_Fu" vbProcedure="false">DISEÑO!$E$21</definedName>
    <definedName function="false" hidden="false" name="vg_Fy" vbProcedure="false">DISEÑO!$C$21</definedName>
    <definedName function="false" hidden="false" name="vg_kw" vbProcedure="false">DISEÑO!$C$22</definedName>
    <definedName function="false" hidden="false" name="vg_perfil" vbProcedure="false">DISEÑO!$C$15</definedName>
    <definedName function="false" hidden="false" name="vg_tf_mm" vbProcedure="false">DISEÑO!$C$19</definedName>
    <definedName function="false" hidden="false" name="vg_tw_mm" vbProcedure="false">DISEÑO!$C$18</definedName>
    <definedName function="false" hidden="false" name="vp_acero" vbProcedure="false">DISEÑO!$C$33</definedName>
    <definedName function="false" hidden="false" name="vp_bf_mm" vbProcedure="false">DISEÑO!$C$30</definedName>
    <definedName function="false" hidden="false" name="vp_d_mm" vbProcedure="false">DISEÑO!$C$29</definedName>
    <definedName function="false" hidden="false" name="vp_Fu" vbProcedure="false">DISEÑO!$E$34</definedName>
    <definedName function="false" hidden="false" name="vp_Fy" vbProcedure="false">DISEÑO!$C$34</definedName>
    <definedName function="false" hidden="false" name="vp_perfil" vbProcedure="false">DISEÑO!$C$28</definedName>
    <definedName function="false" hidden="false" name="vp_tf_mm" vbProcedure="false">DISEÑO!$C$32</definedName>
    <definedName function="false" hidden="false" name="vp_tw_mm" vbProcedure="false">DISEÑO!$C$31</definedName>
    <definedName function="false" hidden="false" name="v_bs" vbProcedure="false">CALCULO!$D$83</definedName>
    <definedName function="false" hidden="false" name="v_f" vbProcedure="false">CALCULO!$D$87</definedName>
    <definedName function="false" hidden="false" name="v_Fcr" vbProcedure="false">CALCULO!$D$90</definedName>
    <definedName function="false" hidden="false" name="v_fd" vbProcedure="false">CALCULO!$D$89</definedName>
    <definedName function="false" hidden="false" name="v_I" vbProcedure="false">CALCULO!$D$85</definedName>
    <definedName function="false" hidden="false" name="v_k" vbProcedure="false">CALCULO!$D$88</definedName>
    <definedName function="false" hidden="false" name="v_Mn" vbProcedure="false">CALCULO!$D$92</definedName>
    <definedName function="false" hidden="false" name="v_Mu" vbProcedure="false">CALCULO!$D$91</definedName>
    <definedName function="false" hidden="false" name="v_S" vbProcedure="false">CALCULO!$D$86</definedName>
    <definedName function="false" hidden="false" name="v_vr" vbProcedure="false">CALCULO!$D$82</definedName>
    <definedName function="false" hidden="false" name="v_vy" vbProcedure="false">CALCULO!$D$81</definedName>
    <definedName function="false" hidden="false" name="v_yb" vbProcedure="false">CALCULO!$D$84</definedName>
    <definedName function="false" hidden="false" name="w_FEXX" vbProcedure="false">CALCULO!$D$77</definedName>
    <definedName function="false" hidden="false" name="w_R" vbProcedure="false">CALCULO!$D$78</definedName>
    <definedName function="false" hidden="false" name="w_tmin" vbProcedure="false">CALCULO!$D$79</definedName>
    <definedName function="false" hidden="false" name="x_int" vbProcedure="false">CALCULO!$D$68</definedName>
    <definedName function="false" hidden="false" name="x_lam" vbProcedure="false">CALCULO!$D$71</definedName>
    <definedName function="false" hidden="false" name="x_Mb" vbProcedure="false">CALCULO!$D$73</definedName>
    <definedName function="false" hidden="false" name="x_Mc" vbProcedure="false">CALCULO!$D$67</definedName>
    <definedName function="false" hidden="false" name="x_Mmax" vbProcedure="false">CALCULO!$D$74</definedName>
    <definedName function="false" hidden="false" name="x_Mr" vbProcedure="false">CALCULO!$D$70</definedName>
    <definedName function="false" hidden="false" name="x_Mu" vbProcedure="false">CALCULO!$D$65</definedName>
    <definedName function="false" hidden="false" name="x_Q" vbProcedure="false">CALCULO!$D$72</definedName>
    <definedName function="false" hidden="false" name="x_tmax" vbProcedure="false">CALCULO!$D$75</definedName>
    <definedName function="false" hidden="false" name="x_Vc" vbProcedure="false">CALCULO!$D$66</definedName>
    <definedName function="false" hidden="false" name="x_Zn" vbProcedure="false">CALCULO!$D$69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Convencional: a ≤ 3.5 in (89 mm), 2 a 12 pernos en una línea (Manual Tabla 10-9). Extendida: a &gt; 89 mm, incluye flexión, pandeo y espesor máximo de la placa. Doble ángulo: apernado a la viga y al soporte.</t>
        </r>
      </text>
    </comment>
    <comment ref="C13" authorId="0">
      <text>
        <r>
          <rPr>
            <sz val="10"/>
            <rFont val="Arial"/>
            <family val="2"/>
          </rPr>
          <t xml:space="preserve">Si hay otra viga conectada al mismo punto del alma de la viga principal: afecta el espesor mínimo del alma para la soldadura (placa simple) y el aplastamiento en el alma (doble ángulo).</t>
        </r>
      </text>
    </comment>
    <comment ref="C15" authorId="0">
      <text>
        <r>
          <rPr>
            <sz val="10"/>
            <rFont val="Arial"/>
            <family val="2"/>
          </rPr>
          <t xml:space="preserve">Para una viga armada con flejes soldados elija 'ARMADO (flejes soldados)' e ingrese d, bf, tw y tf en mm en la columna 'Armado'.</t>
        </r>
      </text>
    </comment>
    <comment ref="C42" authorId="0">
      <text>
        <r>
          <rPr>
            <sz val="10"/>
            <rFont val="Arial"/>
            <family val="2"/>
          </rPr>
          <t xml:space="preserve">Solo placa simple. La viga siempre con agujero estándar.</t>
        </r>
      </text>
    </comment>
  </commentList>
</comments>
</file>

<file path=xl/sharedStrings.xml><?xml version="1.0" encoding="utf-8"?>
<sst xmlns="http://schemas.openxmlformats.org/spreadsheetml/2006/main" count="630" uniqueCount="404">
  <si>
    <t xml:space="preserve">CONEXIÓN SIMPLE A CORTANTE — VIGA SECUNDARIA A ALMA DE VIGA PRINCIPAL</t>
  </si>
  <si>
    <t xml:space="preserve">AISC 360-16 (J2, J3, J4)  ·  AISC Manual 15ª ed. Parte 9 (vigas con destaje) y Parte 10 (conexiones simples)  ·  LRFD  ·  Unidades: Tonf,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</si>
  <si>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</si>
  <si>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</si>
  <si>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</si>
  <si>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capacidad, o requerido / provisto)</t>
  </si>
  <si>
    <t xml:space="preserve">DATOS GENERALES</t>
  </si>
  <si>
    <t xml:space="preserve">ELEVACIÓN</t>
  </si>
  <si>
    <t xml:space="preserve">PLANTA (corte bajo el ala)</t>
  </si>
  <si>
    <t xml:space="preserve">VERIFICACIONES</t>
  </si>
  <si>
    <t xml:space="preserve">Proyecto</t>
  </si>
  <si>
    <t xml:space="preserve">Edificio — ejemplo</t>
  </si>
  <si>
    <t xml:space="preserve">Elemento / nudo</t>
  </si>
  <si>
    <t xml:space="preserve">Vigueta V-3 a viga principal VP-1</t>
  </si>
  <si>
    <t xml:space="preserve">Límite verde / amarillo (ratio)</t>
  </si>
  <si>
    <t xml:space="preserve">TIPO DE CONEXIÓN Y CARGA</t>
  </si>
  <si>
    <t xml:space="preserve">Verificación</t>
  </si>
  <si>
    <t xml:space="preserve">Referencia</t>
  </si>
  <si>
    <t xml:space="preserve">Demanda / req.</t>
  </si>
  <si>
    <t xml:space="preserve">Capacidad / prov.</t>
  </si>
  <si>
    <t xml:space="preserve">Unidad</t>
  </si>
  <si>
    <t xml:space="preserve">Ratio</t>
  </si>
  <si>
    <t xml:space="preserve">Estado</t>
  </si>
  <si>
    <t xml:space="preserve">Tipo</t>
  </si>
  <si>
    <t xml:space="preserve">Placa simple convencional</t>
  </si>
  <si>
    <t xml:space="preserve">PERNOS — LADO VIGA</t>
  </si>
  <si>
    <t xml:space="preserve">Reacción factorada Ru</t>
  </si>
  <si>
    <t xml:space="preserve">Tonf</t>
  </si>
  <si>
    <t xml:space="preserve">Corte en pernos (perno crítico)</t>
  </si>
  <si>
    <t xml:space="preserve">J3.6 · grupo excéntrico elástico</t>
  </si>
  <si>
    <t xml:space="preserve">Reacción de la viga del otro lado (0 si no hay)</t>
  </si>
  <si>
    <t xml:space="preserve">Aplastamiento / desgarre — alma de viga</t>
  </si>
  <si>
    <t xml:space="preserve">J3.10</t>
  </si>
  <si>
    <t xml:space="preserve">1. VIGA SOPORTADA</t>
  </si>
  <si>
    <t xml:space="preserve">Aplastamiento / desgarre — placa o ángulos</t>
  </si>
  <si>
    <t xml:space="preserve">Perfil (catálogo o ARMADO)</t>
  </si>
  <si>
    <t xml:space="preserve">VK300X150X4X10</t>
  </si>
  <si>
    <t xml:space="preserve">Armado (mm)</t>
  </si>
  <si>
    <t xml:space="preserve">DOBLE ÁNGULO — LADO SOPORTE</t>
  </si>
  <si>
    <t xml:space="preserve">Peralte d</t>
  </si>
  <si>
    <t xml:space="preserve">mm</t>
  </si>
  <si>
    <t xml:space="preserve">Corte en pernos (2n, corte simple)</t>
  </si>
  <si>
    <t xml:space="preserve">J3.6</t>
  </si>
  <si>
    <t xml:space="preserve">Ancho de ala bf</t>
  </si>
  <si>
    <t xml:space="preserve">Aplastamiento / desgarre — alas de ángulo</t>
  </si>
  <si>
    <t xml:space="preserve">Espesor de alma tw</t>
  </si>
  <si>
    <t xml:space="preserve">Aplastamiento — alma de viga principal</t>
  </si>
  <si>
    <t xml:space="preserve">Espesor de ala tf</t>
  </si>
  <si>
    <t xml:space="preserve">Bloque de cortante — alas en el soporte</t>
  </si>
  <si>
    <t xml:space="preserve">J4.3</t>
  </si>
  <si>
    <t xml:space="preserve">Acero</t>
  </si>
  <si>
    <t xml:space="preserve">A572 Gr50</t>
  </si>
  <si>
    <t xml:space="preserve">PLACA / ÁNGULOS</t>
  </si>
  <si>
    <t xml:space="preserve">Fy / Fu</t>
  </si>
  <si>
    <t xml:space="preserve">kgf/cm²</t>
  </si>
  <si>
    <t xml:space="preserve">VALORES CLAVE</t>
  </si>
  <si>
    <t xml:space="preserve">Fluencia por corte</t>
  </si>
  <si>
    <t xml:space="preserve">J4.2(a)</t>
  </si>
  <si>
    <t xml:space="preserve">Filete / radio alma–ala (para k)</t>
  </si>
  <si>
    <t xml:space="preserve">Excentricidad del grupo e</t>
  </si>
  <si>
    <t xml:space="preserve">cm</t>
  </si>
  <si>
    <t xml:space="preserve">Ruptura por corte</t>
  </si>
  <si>
    <t xml:space="preserve">J4.2(b)</t>
  </si>
  <si>
    <t xml:space="preserve">Destaje</t>
  </si>
  <si>
    <t xml:space="preserve">Destaje superior</t>
  </si>
  <si>
    <t xml:space="preserve">Fuerza en el perno crítico rmáx</t>
  </si>
  <si>
    <t xml:space="preserve">Bloque de cortante (lado viga)</t>
  </si>
  <si>
    <t xml:space="preserve">Profundidad del destaje dc</t>
  </si>
  <si>
    <t xml:space="preserve">Corte por perno φrn</t>
  </si>
  <si>
    <t xml:space="preserve">Placa extendida — corte + flexión</t>
  </si>
  <si>
    <t xml:space="preserve">Manual Ec. 10-5</t>
  </si>
  <si>
    <t xml:space="preserve">-</t>
  </si>
  <si>
    <t xml:space="preserve">Longitud del destaje c</t>
  </si>
  <si>
    <t xml:space="preserve">Largo de placa / ángulo L</t>
  </si>
  <si>
    <t xml:space="preserve">Placa extendida — ruptura por flexión</t>
  </si>
  <si>
    <t xml:space="preserve">Manual Parte 10</t>
  </si>
  <si>
    <t xml:space="preserve">Tonf·m</t>
  </si>
  <si>
    <t xml:space="preserve">Holgura viga – alma de viga principal</t>
  </si>
  <si>
    <t xml:space="preserve">Alma de viga: Leh (a extremo)</t>
  </si>
  <si>
    <t xml:space="preserve">Placa extendida — pandeo</t>
  </si>
  <si>
    <t xml:space="preserve">Manual Parte 9 (método Q)</t>
  </si>
  <si>
    <t xml:space="preserve">2. VIGA PRINCIPAL (soporte)</t>
  </si>
  <si>
    <t xml:space="preserve">Alma de viga: Lev (a destaje)</t>
  </si>
  <si>
    <t xml:space="preserve">SOLDADURA Y VIGA PRINCIPAL (placa simple)</t>
  </si>
  <si>
    <t xml:space="preserve">VK400X180X6X12</t>
  </si>
  <si>
    <t xml:space="preserve">Peralte remanente ho</t>
  </si>
  <si>
    <t xml:space="preserve">Resistencia de filetes placa – alma</t>
  </si>
  <si>
    <t xml:space="preserve">J2.4</t>
  </si>
  <si>
    <t xml:space="preserve">Snet en el destaje</t>
  </si>
  <si>
    <t xml:space="preserve">cm³</t>
  </si>
  <si>
    <t xml:space="preserve">Filete ≥ 5/8·tp (ductilidad)</t>
  </si>
  <si>
    <t xml:space="preserve">Fcr en el destaje</t>
  </si>
  <si>
    <t xml:space="preserve">Alma de viga principal: t ≥ tmín para los filetes</t>
  </si>
  <si>
    <t xml:space="preserve">Manual Ec. 9-2/9-3</t>
  </si>
  <si>
    <t xml:space="preserve">Momento en el destaje Mu</t>
  </si>
  <si>
    <t xml:space="preserve">VIGA SOPORTADA (Manual Parte 9)</t>
  </si>
  <si>
    <t xml:space="preserve">Placa extendida: tmáx</t>
  </si>
  <si>
    <t xml:space="preserve">Fluencia por corte del alma (ho)</t>
  </si>
  <si>
    <t xml:space="preserve">Alma viga principal: tmín soldadura</t>
  </si>
  <si>
    <t xml:space="preserve">Ruptura por corte del alma</t>
  </si>
  <si>
    <t xml:space="preserve">Bloque de cortante del alma (con destaje)</t>
  </si>
  <si>
    <t xml:space="preserve">3. PERNOS</t>
  </si>
  <si>
    <t xml:space="preserve">ALCANCE Y SUPUESTOS</t>
  </si>
  <si>
    <t xml:space="preserve">Pandeo local por flexión en el destaje</t>
  </si>
  <si>
    <t xml:space="preserve">Manual Parte 9</t>
  </si>
  <si>
    <t xml:space="preserve">Grado</t>
  </si>
  <si>
    <t xml:space="preserve">A325-N (roscas incl.)</t>
  </si>
  <si>
    <t xml:space="preserve">• Viga secundaria conectada al alma de la viga principal, alas superiores a nivel (destaje).</t>
  </si>
  <si>
    <t xml:space="preserve">LÍMITES Y DETALLES (requerido / provisto)</t>
  </si>
  <si>
    <t xml:space="preserve">Diámetro</t>
  </si>
  <si>
    <t xml:space="preserve">3/4"</t>
  </si>
  <si>
    <t xml:space="preserve">• Grupo de pernos excéntrico por método elástico: conservador frente al centro instantáneo del Manual.</t>
  </si>
  <si>
    <t xml:space="preserve">Convencional: a ≤ 3.5 in (89 mm)</t>
  </si>
  <si>
    <t xml:space="preserve">Manual Tabla 10-9</t>
  </si>
  <si>
    <t xml:space="preserve">Número de pernos n (1 línea vertical)</t>
  </si>
  <si>
    <t xml:space="preserve">• Convencional: excentricidad de Tabla 10-9 (a/2 o a); extendida: e = a.</t>
  </si>
  <si>
    <t xml:space="preserve">Placa simple: 2 ≤ n ≤ 12</t>
  </si>
  <si>
    <t xml:space="preserve">pernos</t>
  </si>
  <si>
    <t xml:space="preserve">Paso vertical s</t>
  </si>
  <si>
    <t xml:space="preserve">• Doble ángulo: excentricidad despreciada en ambos lados (Manual Parte 10).</t>
  </si>
  <si>
    <t xml:space="preserve">Convencional: mín(tp ; tw) ≤ tmáx</t>
  </si>
  <si>
    <t xml:space="preserve">Tope de viga → primer perno</t>
  </si>
  <si>
    <t xml:space="preserve">• Momento en el destaje con e = c + holgura (reacción en la cara del soporte).</t>
  </si>
  <si>
    <t xml:space="preserve">Extendida: tp ≤ tmáx</t>
  </si>
  <si>
    <t xml:space="preserve">Manual Ec. 10-3</t>
  </si>
  <si>
    <t xml:space="preserve">Borde vertical en placa / ángulo Lev</t>
  </si>
  <si>
    <t xml:space="preserve">• Sin carga axial en la conexión; alma de viga principal no se verifica a flexión local.</t>
  </si>
  <si>
    <t xml:space="preserve">Leh en placa ≥ 2·db</t>
  </si>
  <si>
    <t xml:space="preserve">Agujero en la placa</t>
  </si>
  <si>
    <t xml:space="preserve">STD</t>
  </si>
  <si>
    <t xml:space="preserve">• Herramienta de apoyo: la responsabilidad del diseño es del ingeniero que la usa.</t>
  </si>
  <si>
    <t xml:space="preserve">Leh en alma de viga ≥ 2·db</t>
  </si>
  <si>
    <t xml:space="preserve">4. PLACA SIMPLE</t>
  </si>
  <si>
    <t xml:space="preserve">Leh en alma de viga ≥ borde mínimo</t>
  </si>
  <si>
    <t xml:space="preserve">J3.4</t>
  </si>
  <si>
    <t xml:space="preserve">A36</t>
  </si>
  <si>
    <t xml:space="preserve">Leh en ángulos ≥ borde mínimo</t>
  </si>
  <si>
    <t xml:space="preserve">Borde vertical Lev (elemento)</t>
  </si>
  <si>
    <t xml:space="preserve">Espesor tp</t>
  </si>
  <si>
    <t xml:space="preserve">Borde vertical en alma (a destaje)</t>
  </si>
  <si>
    <t xml:space="preserve">a — soldadura a línea de pernos</t>
  </si>
  <si>
    <t xml:space="preserve">Paso s ≥ 3·db</t>
  </si>
  <si>
    <t xml:space="preserve">J3.3 (preferido)</t>
  </si>
  <si>
    <t xml:space="preserve">Leh — línea de pernos a borde de placa</t>
  </si>
  <si>
    <t xml:space="preserve">Elemento dentro del alma libre</t>
  </si>
  <si>
    <t xml:space="preserve">Geometría</t>
  </si>
  <si>
    <t xml:space="preserve">Electrodo</t>
  </si>
  <si>
    <t xml:space="preserve">E70XX</t>
  </si>
  <si>
    <t xml:space="preserve">Doble ángulo: L ≥ T/2 (estabilidad)</t>
  </si>
  <si>
    <t xml:space="preserve">Filete placa – alma de viga principal (c/lado)</t>
  </si>
  <si>
    <t xml:space="preserve">Destaje: c ≤ 2d</t>
  </si>
  <si>
    <t xml:space="preserve">5. DOBLE ÁNGULO (apernado – apernado)</t>
  </si>
  <si>
    <t xml:space="preserve">Destaje: dc ≤ d/2 (sup.) | 0.2d (doble)</t>
  </si>
  <si>
    <t xml:space="preserve">Gramil ángulo lado soporte vs. alma de viga</t>
  </si>
  <si>
    <t xml:space="preserve">Geometría (llave)</t>
  </si>
  <si>
    <t xml:space="preserve">Holgura viga – soporte ≥ 0</t>
  </si>
  <si>
    <t xml:space="preserve">Ala contra la viga</t>
  </si>
  <si>
    <t xml:space="preserve">Ala contra el soporte</t>
  </si>
  <si>
    <t xml:space="preserve">Espesor t</t>
  </si>
  <si>
    <t xml:space="preserve">Gramil lado viga (desde el talón)</t>
  </si>
  <si>
    <t xml:space="preserve">Gramil lado soporte (desde el talón)</t>
  </si>
  <si>
    <t xml:space="preserve">HOJA DE CÁLCULO — memoria detallada (no editar)</t>
  </si>
  <si>
    <t xml:space="preserve">Unidades: kgf, cm. Grupo excéntrico de pernos por método elástico (más conservador que el centro instantáneo del Manual). φ según AISC 360-16.</t>
  </si>
  <si>
    <t xml:space="preserve">0. TIPO, GEOMETRÍA Y MATERIALES</t>
  </si>
  <si>
    <t xml:space="preserve">conv.</t>
  </si>
  <si>
    <t xml:space="preserve">1 = placa simple convencional</t>
  </si>
  <si>
    <t xml:space="preserve">ext.</t>
  </si>
  <si>
    <t xml:space="preserve">1 = placa simple extendida</t>
  </si>
  <si>
    <t xml:space="preserve">2L</t>
  </si>
  <si>
    <t xml:space="preserve">1 = doble ángulo</t>
  </si>
  <si>
    <t xml:space="preserve">placa</t>
  </si>
  <si>
    <t xml:space="preserve">1 = placa simple (conv. o ext.)</t>
  </si>
  <si>
    <t xml:space="preserve">E</t>
  </si>
  <si>
    <t xml:space="preserve">Módulo de elasticidad</t>
  </si>
  <si>
    <t xml:space="preserve">Ru</t>
  </si>
  <si>
    <t xml:space="preserve">Reacción factorada</t>
  </si>
  <si>
    <t xml:space="preserve">kgf</t>
  </si>
  <si>
    <t xml:space="preserve">d</t>
  </si>
  <si>
    <t xml:space="preserve">d (cm)</t>
  </si>
  <si>
    <t xml:space="preserve">bf</t>
  </si>
  <si>
    <t xml:space="preserve">bf (cm)</t>
  </si>
  <si>
    <t xml:space="preserve">tw</t>
  </si>
  <si>
    <t xml:space="preserve">tw (cm)</t>
  </si>
  <si>
    <t xml:space="preserve">tf</t>
  </si>
  <si>
    <t xml:space="preserve">tf (cm)</t>
  </si>
  <si>
    <t xml:space="preserve">dg</t>
  </si>
  <si>
    <t xml:space="preserve">dg (cm)</t>
  </si>
  <si>
    <t xml:space="preserve">bfg</t>
  </si>
  <si>
    <t xml:space="preserve">bfg (cm)</t>
  </si>
  <si>
    <t xml:space="preserve">twg</t>
  </si>
  <si>
    <t xml:space="preserve">twg (cm)</t>
  </si>
  <si>
    <t xml:space="preserve">tfg</t>
  </si>
  <si>
    <t xml:space="preserve">tfg (cm)</t>
  </si>
  <si>
    <t xml:space="preserve">k</t>
  </si>
  <si>
    <t xml:space="preserve">tf + filete (viga soportada)</t>
  </si>
  <si>
    <t xml:space="preserve">dct</t>
  </si>
  <si>
    <t xml:space="preserve">dcb</t>
  </si>
  <si>
    <t xml:space="preserve">Destaje inferior (destaje doble)</t>
  </si>
  <si>
    <t xml:space="preserve">c</t>
  </si>
  <si>
    <t xml:space="preserve">Longitud del destaje</t>
  </si>
  <si>
    <t xml:space="preserve">ho</t>
  </si>
  <si>
    <t xml:space="preserve">Peralte remanente d − dct − dcb</t>
  </si>
  <si>
    <t xml:space="preserve">db</t>
  </si>
  <si>
    <t xml:space="preserve">in</t>
  </si>
  <si>
    <t xml:space="preserve">Ab</t>
  </si>
  <si>
    <t xml:space="preserve">π·db²/4</t>
  </si>
  <si>
    <t xml:space="preserve">cm²</t>
  </si>
  <si>
    <t xml:space="preserve">dh</t>
  </si>
  <si>
    <t xml:space="preserve">Agujero estándar (Tabla J3.3)</t>
  </si>
  <si>
    <t xml:space="preserve">dh,net</t>
  </si>
  <si>
    <t xml:space="preserve">dh + 1/16 in (B4.3b)</t>
  </si>
  <si>
    <t xml:space="preserve">Lslot</t>
  </si>
  <si>
    <t xml:space="preserve">Longitud de ranura corta SSL (Tabla J3.3), si aplica</t>
  </si>
  <si>
    <t xml:space="preserve">Le,min</t>
  </si>
  <si>
    <t xml:space="preserve">Borde mínimo (Tabla J3.4)</t>
  </si>
  <si>
    <t xml:space="preserve">Fnv</t>
  </si>
  <si>
    <t xml:space="preserve">Resistencia nominal a corte del perno</t>
  </si>
  <si>
    <t xml:space="preserve">s</t>
  </si>
  <si>
    <t xml:space="preserve">Paso vertical</t>
  </si>
  <si>
    <t xml:space="preserve">Lev</t>
  </si>
  <si>
    <t xml:space="preserve">Borde vertical en placa / ángulo</t>
  </si>
  <si>
    <t xml:space="preserve">L</t>
  </si>
  <si>
    <t xml:space="preserve">Largo de placa / ángulo = (n−1)s + 2Lev</t>
  </si>
  <si>
    <t xml:space="preserve">ztop</t>
  </si>
  <si>
    <t xml:space="preserve">Profundidad del borde superior de la placa/ángulo desde el tope de la viga</t>
  </si>
  <si>
    <t xml:space="preserve">Lev,b</t>
  </si>
  <si>
    <t xml:space="preserve">Primer perno a borde superior del alma (destaje) ; sin destaje: no gobierna</t>
  </si>
  <si>
    <t xml:space="preserve">t</t>
  </si>
  <si>
    <t xml:space="preserve">Espesor del elemento (placa o ángulo)</t>
  </si>
  <si>
    <t xml:space="preserve">Fy,e</t>
  </si>
  <si>
    <t xml:space="preserve">Fy del elemento</t>
  </si>
  <si>
    <t xml:space="preserve">Fu,e</t>
  </si>
  <si>
    <t xml:space="preserve">Fu del elemento</t>
  </si>
  <si>
    <t xml:space="preserve">xb</t>
  </si>
  <si>
    <t xml:space="preserve">Alma de viga principal → línea de pernos de la viga (a | gramil lado viga)</t>
  </si>
  <si>
    <t xml:space="preserve">Leh,e</t>
  </si>
  <si>
    <t xml:space="preserve">Línea de pernos → borde del elemento</t>
  </si>
  <si>
    <t xml:space="preserve">Leh,b</t>
  </si>
  <si>
    <t xml:space="preserve">Línea de pernos → extremo de la viga = xb − holgura</t>
  </si>
  <si>
    <t xml:space="preserve">1. PERNOS — GRUPO LADO VIGA</t>
  </si>
  <si>
    <t xml:space="preserve">e</t>
  </si>
  <si>
    <t xml:space="preserve">Excentricidad: conv. Tabla 10-9 (SSLT o n ≤ 5: a/2 ; STD y n ≥ 6: a) ; ext.: a ; 2L: 0</t>
  </si>
  <si>
    <t xml:space="preserve">Σy²</t>
  </si>
  <si>
    <t xml:space="preserve">s²·n(n²−1)/12</t>
  </si>
  <si>
    <t xml:space="preserve">ymáx</t>
  </si>
  <si>
    <t xml:space="preserve">s(n−1)/2</t>
  </si>
  <si>
    <t xml:space="preserve">rmáx</t>
  </si>
  <si>
    <t xml:space="preserve">Fuerza en el perno crítico (elástico): Ru·√(1/n² + (e·ymáx/Σy²)²)</t>
  </si>
  <si>
    <t xml:space="preserve">planos</t>
  </si>
  <si>
    <t xml:space="preserve">Planos de corte lado viga (2 en doble ángulo)</t>
  </si>
  <si>
    <t xml:space="preserve">φrn,v</t>
  </si>
  <si>
    <t xml:space="preserve">Corte por perno: 0.75·Fnv·Ab·planos (J3.6)</t>
  </si>
  <si>
    <t xml:space="preserve">Lc,alma</t>
  </si>
  <si>
    <t xml:space="preserve">Mínimo Lc en el alma: destaje, extremo (si hay excentricidad) y s − dh</t>
  </si>
  <si>
    <t xml:space="preserve">Lc,elem</t>
  </si>
  <si>
    <t xml:space="preserve">Mínimo Lc en el elemento: borde inferior, borde horizontal (si hay excentricidad) y s − dh</t>
  </si>
  <si>
    <t xml:space="preserve">φrn,alma</t>
  </si>
  <si>
    <t xml:space="preserve">Aplastamiento/desgarre por perno en el alma: 0.75·mín(1.2Lc ; 2.4db)·tw·Fu</t>
  </si>
  <si>
    <t xml:space="preserve">φrn,elem</t>
  </si>
  <si>
    <t xml:space="preserve">Aplastamiento/desgarre por perno en el elemento (×2 en doble ángulo)</t>
  </si>
  <si>
    <t xml:space="preserve">2. DOBLE ÁNGULO — LADO SOPORTE</t>
  </si>
  <si>
    <t xml:space="preserve">φRn</t>
  </si>
  <si>
    <t xml:space="preserve">2n pernos a corte simple: 0.75·Fnv·Ab·2n</t>
  </si>
  <si>
    <t xml:space="preserve">Aplastamiento/desgarre en alas de soporte: 2·0.75·[mín(1.2(Lev−dh/2);2.4db) + (n−1)mín(1.2(s−dh);2.4db)]·t·Fu</t>
  </si>
  <si>
    <t xml:space="preserve">Aplastamiento en alma de viga principal: 2 líneas · n · 0.75·mín(1.2(s−dh);2.4db)·twg·Fu</t>
  </si>
  <si>
    <t xml:space="preserve">3. ELEMENTO (PLACA O ÁNGULOS) — J4</t>
  </si>
  <si>
    <t xml:space="preserve">nº</t>
  </si>
  <si>
    <t xml:space="preserve">Número de elementos (2 en doble ángulo)</t>
  </si>
  <si>
    <t xml:space="preserve">Fluencia por corte: 1.00·0.6·Fy·L·t·nº (J4.2a)</t>
  </si>
  <si>
    <t xml:space="preserve">Ruptura por corte: 0.75·0.6·Fu·(L − n·dh,net)·t·nº (J4.2b)</t>
  </si>
  <si>
    <t xml:space="preserve">Bloque de cortante del elemento, lado viga (J4.3, Ubs = 1)</t>
  </si>
  <si>
    <t xml:space="preserve">Bloque de cortante de alas en el soporte (2L)</t>
  </si>
  <si>
    <t xml:space="preserve">4. PLACA SIMPLE EXTENDIDA — Manual Parte 10</t>
  </si>
  <si>
    <t xml:space="preserve">Mu</t>
  </si>
  <si>
    <t xml:space="preserve">Ru·a</t>
  </si>
  <si>
    <t xml:space="preserve">kgf·cm</t>
  </si>
  <si>
    <t xml:space="preserve">φVn</t>
  </si>
  <si>
    <t xml:space="preserve">1.00·0.6·Fy·L·tp</t>
  </si>
  <si>
    <t xml:space="preserve">φMn</t>
  </si>
  <si>
    <t xml:space="preserve">0.90·Fy·Zx, Zx = tp·L²/4</t>
  </si>
  <si>
    <t xml:space="preserve">ratio</t>
  </si>
  <si>
    <t xml:space="preserve">Interacción (Vr/Vc)² + (Mr/Mc)² ≤ 1 (Manual Ec. 10-5)</t>
  </si>
  <si>
    <t xml:space="preserve">Znet</t>
  </si>
  <si>
    <t xml:space="preserve">tp·L²/4 − tp·dh,net·s·ENT(n²/4)</t>
  </si>
  <si>
    <t xml:space="preserve">Ruptura por flexión: 0.75·Fu·Znet</t>
  </si>
  <si>
    <t xml:space="preserve">λ</t>
  </si>
  <si>
    <t xml:space="preserve">Pandeo de placa (Parte 9, método Q): L·√Fy/(10·tp·√(475 + 280(L/a)²)) [Fy en ksi]</t>
  </si>
  <si>
    <t xml:space="preserve">Q</t>
  </si>
  <si>
    <t xml:space="preserve">λ ≤ 0.7: 1 ; ≤ 1.41: 1.34 − 0.486λ ; si no 1.30/λ²</t>
  </si>
  <si>
    <t xml:space="preserve">0.90·Q·Fy·S, S = tp·L²/6</t>
  </si>
  <si>
    <t xml:space="preserve">Mmáx</t>
  </si>
  <si>
    <t xml:space="preserve">(Fnv/0.90)·Ab·C', C' = Σy²/ymáx (elástico)</t>
  </si>
  <si>
    <t xml:space="preserve">tmáx</t>
  </si>
  <si>
    <t xml:space="preserve">6·Mmáx/(Fy·L²) (Manual Ec. 10-3)</t>
  </si>
  <si>
    <t xml:space="preserve">5. SOLDADURA Y VIGA PRINCIPAL (placa simple)</t>
  </si>
  <si>
    <t xml:space="preserve">FEXX</t>
  </si>
  <si>
    <t xml:space="preserve">Filetes (2): 0.75·0.6·FEXX·0.707·w·2L (J2.4)</t>
  </si>
  <si>
    <t xml:space="preserve">tmín</t>
  </si>
  <si>
    <t xml:space="preserve">Alma de viga principal para desarrollar cada filete: 0.707·w·FEXX/Fu (Ec. 9-2); ×2 con placa opuesta (Ec. 9-3)</t>
  </si>
  <si>
    <t xml:space="preserve">6. VIGA SOPORTADA — Manual Parte 9</t>
  </si>
  <si>
    <t xml:space="preserve">Fluencia por corte del alma en ho: 1.00·0.6·Fy·ho·tw</t>
  </si>
  <si>
    <t xml:space="preserve">Ruptura por corte del alma: 0.75·0.6·Fu·(ho − n·dh,net)·tw</t>
  </si>
  <si>
    <t xml:space="preserve">Bloque de cortante del alma con destaje superior (J4.3, Ubs = 1)</t>
  </si>
  <si>
    <t xml:space="preserve">ȳ</t>
  </si>
  <si>
    <t xml:space="preserve">Destaje sup.: centroide de la T (ala inf. + alma) medido desde la fibra inferior</t>
  </si>
  <si>
    <t xml:space="preserve">I</t>
  </si>
  <si>
    <t xml:space="preserve">Inercia de la T</t>
  </si>
  <si>
    <t xml:space="preserve">cm⁴</t>
  </si>
  <si>
    <t xml:space="preserve">Snet</t>
  </si>
  <si>
    <t xml:space="preserve">Destaje sup.: I/(ho − ȳ) ; doble: tw·ho²/6</t>
  </si>
  <si>
    <t xml:space="preserve">f</t>
  </si>
  <si>
    <t xml:space="preserve">Destaje sup.: c/d ≤ 1 → 2c/d ; si no 1 + c/d</t>
  </si>
  <si>
    <t xml:space="preserve">Destaje sup.: c/ho ≤ 1 → 2.2(ho/c)^1.65 ; si no 2.2·ho/c</t>
  </si>
  <si>
    <t xml:space="preserve">fd</t>
  </si>
  <si>
    <t xml:space="preserve">Destaje doble: 3.5 − 7.5·dc/d</t>
  </si>
  <si>
    <t xml:space="preserve">Fcr</t>
  </si>
  <si>
    <t xml:space="preserve">Sup.: 26 210·(tw/ho)²·f·k [ksi] ≤ Fy ; doble: 0.62·π·E·tw²·fd/(c·ho) ≤ Fy</t>
  </si>
  <si>
    <t xml:space="preserve">Ru·(c + holgura) en la cara del destaje</t>
  </si>
  <si>
    <t xml:space="preserve">0.90·Fcr·Snet</t>
  </si>
  <si>
    <t xml:space="preserve">CATÁLOGOS — ampliables agregando filas dentro de cada rango</t>
  </si>
  <si>
    <t xml:space="preserve">Vigas (VK: KUBIEC; W: AISC redondeado a mm; ARMADO: medidas manuales)</t>
  </si>
  <si>
    <t xml:space="preserve">Aceros (kgf/cm²)</t>
  </si>
  <si>
    <t xml:space="preserve">Pernos (kgf/cm²) — AISC 360-16 Tabla J3.2</t>
  </si>
  <si>
    <t xml:space="preserve">Diámetros — borde mín. Tabla J3.4</t>
  </si>
  <si>
    <t xml:space="preserve">Opción</t>
  </si>
  <si>
    <t xml:space="preserve">Tipo de conexión</t>
  </si>
  <si>
    <t xml:space="preserve">Agujero en placa</t>
  </si>
  <si>
    <t xml:space="preserve">Espesores (mm)</t>
  </si>
  <si>
    <t xml:space="preserve">Perfil</t>
  </si>
  <si>
    <t xml:space="preserve">Fy</t>
  </si>
  <si>
    <t xml:space="preserve">Fu</t>
  </si>
  <si>
    <t xml:space="preserve">Ø</t>
  </si>
  <si>
    <t xml:space="preserve">db (in)</t>
  </si>
  <si>
    <t xml:space="preserve">borde mín (in)</t>
  </si>
  <si>
    <t xml:space="preserve">Sí/No</t>
  </si>
  <si>
    <t xml:space="preserve">Agujero</t>
  </si>
  <si>
    <t xml:space="preserve">ARMADO (flejes soldados)</t>
  </si>
  <si>
    <t xml:space="preserve">5/8"</t>
  </si>
  <si>
    <t xml:space="preserve">E60XX</t>
  </si>
  <si>
    <t xml:space="preserve">Sí</t>
  </si>
  <si>
    <t xml:space="preserve">Sin destaje</t>
  </si>
  <si>
    <t xml:space="preserve">VK180X100X4X6</t>
  </si>
  <si>
    <t xml:space="preserve">A325-X (roscas excl.)</t>
  </si>
  <si>
    <t xml:space="preserve">No</t>
  </si>
  <si>
    <t xml:space="preserve">Placa simple extendida</t>
  </si>
  <si>
    <t xml:space="preserve">SSLT (ranura corta horiz.)</t>
  </si>
  <si>
    <t xml:space="preserve">VK200X100X4X8</t>
  </si>
  <si>
    <t xml:space="preserve">A992</t>
  </si>
  <si>
    <t xml:space="preserve">A490-N (roscas incl.)</t>
  </si>
  <si>
    <t xml:space="preserve">7/8"</t>
  </si>
  <si>
    <t xml:space="preserve">Doble ángulo apernado</t>
  </si>
  <si>
    <t xml:space="preserve">Destaje doble (sup. = inf.)</t>
  </si>
  <si>
    <t xml:space="preserve">VK220X110X4X8</t>
  </si>
  <si>
    <t xml:space="preserve">A588 Gr50</t>
  </si>
  <si>
    <t xml:space="preserve">A490-X (roscas excl.)</t>
  </si>
  <si>
    <t xml:space="preserve">1"</t>
  </si>
  <si>
    <t xml:space="preserve">VK250X130X4X8</t>
  </si>
  <si>
    <t xml:space="preserve">A307</t>
  </si>
  <si>
    <t xml:space="preserve">1-1/8"</t>
  </si>
  <si>
    <t xml:space="preserve">VK270X140X4X8</t>
  </si>
  <si>
    <t xml:space="preserve">VK330X160X6X10</t>
  </si>
  <si>
    <t xml:space="preserve">VK360X180X6X10</t>
  </si>
  <si>
    <t xml:space="preserve">VK380X180X6X10</t>
  </si>
  <si>
    <t xml:space="preserve">VK400X180X6X10</t>
  </si>
  <si>
    <t xml:space="preserve">VK420X180X6X12</t>
  </si>
  <si>
    <t xml:space="preserve">VK440X180X6X12</t>
  </si>
  <si>
    <t xml:space="preserve">W8X18</t>
  </si>
  <si>
    <t xml:space="preserve">W10X22</t>
  </si>
  <si>
    <t xml:space="preserve">W12X26</t>
  </si>
  <si>
    <t xml:space="preserve">W14X30</t>
  </si>
  <si>
    <t xml:space="preserve">W16X31</t>
  </si>
  <si>
    <t xml:space="preserve">W18X35</t>
  </si>
  <si>
    <t xml:space="preserve">W18X50</t>
  </si>
  <si>
    <t xml:space="preserve">W21X44</t>
  </si>
  <si>
    <t xml:space="preserve">W21X62</t>
  </si>
  <si>
    <t xml:space="preserve">W24X55</t>
  </si>
  <si>
    <t xml:space="preserve">W24X76</t>
  </si>
  <si>
    <t xml:space="preserve">Coordenadas de las vistas (normalizadas a ±1). No editar.</t>
  </si>
  <si>
    <t xml:space="preserve">Viga principal</t>
  </si>
  <si>
    <t xml:space="preserve">Viga</t>
  </si>
  <si>
    <t xml:space="preserve">Ala sup</t>
  </si>
  <si>
    <t xml:space="preserve">Ala inf</t>
  </si>
  <si>
    <t xml:space="preserve">Elemento</t>
  </si>
  <si>
    <t xml:space="preserve">Pernos</t>
  </si>
  <si>
    <t xml:space="preserve">Alma VP</t>
  </si>
  <si>
    <t xml:space="preserve">Alas VP</t>
  </si>
  <si>
    <t xml:space="preserve">Alas VP2</t>
  </si>
  <si>
    <t xml:space="preserve">Alma viga</t>
  </si>
  <si>
    <t xml:space="preserve">Ala viga</t>
  </si>
  <si>
    <t xml:space="preserve">Placa</t>
  </si>
  <si>
    <t xml:space="preserve">Ángulo 1</t>
  </si>
  <si>
    <t xml:space="preserve">Ángulo 2</t>
  </si>
  <si>
    <t xml:space="preserve">Perno viga</t>
  </si>
  <si>
    <t xml:space="preserve">Perno sop. 1</t>
  </si>
  <si>
    <t xml:space="preserve">Perno sop. 2</t>
  </si>
  <si>
    <t xml:space="preserve">Soldadura</t>
  </si>
  <si>
    <t xml:space="preserve">Extremo de viga</t>
  </si>
  <si>
    <t xml:space="preserve">Largo dibujado</t>
  </si>
  <si>
    <t xml:space="preserve">x centro</t>
  </si>
  <si>
    <t xml:space="preserve">Alto máx</t>
  </si>
  <si>
    <t xml:space="preserve">S elevación</t>
  </si>
  <si>
    <t xml:space="preserve">Semiancho planta</t>
  </si>
  <si>
    <t xml:space="preserve">S planta</t>
  </si>
  <si>
    <t xml:space="preserve">Ancho del elemento en elevación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</si>
</sst>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"/>
    <numFmt numFmtId="168" formatCode="General"/>
    <numFmt numFmtId="169" formatCode="0.000"/>
    <numFmt numFmtId="170" formatCode=";;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.5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  <dxf>
      <font>
        <name val="Arial"/>
        <charset val="1"/>
        <family val="0"/>
        <color rgb="FFA0A0A0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808080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66"/>
      <rgbColor rgb="FFA0A0A0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"Viga principal"</c:f>
              <c:strCache>
                <c:ptCount val="1"/>
                <c:pt idx="0">
                  <c:v>Viga principal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DIBUJO!$D$4:$D$16</c:f>
              <c:numCache>
                <c:formatCode>General</c:formatCode>
                <c:ptCount val="13"/>
                <c:pt idx="0">
                  <c:v>-0.943396226415094</c:v>
                </c:pt>
                <c:pt idx="1">
                  <c:v>-0.217706821480406</c:v>
                </c:pt>
                <c:pt idx="2">
                  <c:v>-0.217706821480406</c:v>
                </c:pt>
                <c:pt idx="3">
                  <c:v>-0.568456700532172</c:v>
                </c:pt>
                <c:pt idx="4">
                  <c:v>-0.568456700532172</c:v>
                </c:pt>
                <c:pt idx="5">
                  <c:v>-0.217706821480406</c:v>
                </c:pt>
                <c:pt idx="6">
                  <c:v>-0.217706821480406</c:v>
                </c:pt>
                <c:pt idx="7">
                  <c:v>-0.943396226415094</c:v>
                </c:pt>
                <c:pt idx="8">
                  <c:v>-0.943396226415094</c:v>
                </c:pt>
                <c:pt idx="9">
                  <c:v>-0.592646347363329</c:v>
                </c:pt>
                <c:pt idx="10">
                  <c:v>-0.592646347363329</c:v>
                </c:pt>
                <c:pt idx="11">
                  <c:v>-0.943396226415094</c:v>
                </c:pt>
                <c:pt idx="12">
                  <c:v>-0.943396226415094</c:v>
                </c:pt>
              </c:numCache>
            </c:numRef>
          </c:xVal>
          <c:yVal>
            <c:numRef>
              <c:f>DIBUJO!$E$4:$E$16</c:f>
              <c:numCache>
                <c:formatCode>General</c:formatCode>
                <c:ptCount val="13"/>
                <c:pt idx="0">
                  <c:v>0.806321561038542</c:v>
                </c:pt>
                <c:pt idx="1">
                  <c:v>0.806321561038542</c:v>
                </c:pt>
                <c:pt idx="2">
                  <c:v>0.75794226737623</c:v>
                </c:pt>
                <c:pt idx="3">
                  <c:v>0.75794226737623</c:v>
                </c:pt>
                <c:pt idx="4">
                  <c:v>-0.75794226737623</c:v>
                </c:pt>
                <c:pt idx="5">
                  <c:v>-0.75794226737623</c:v>
                </c:pt>
                <c:pt idx="6">
                  <c:v>-0.806321561038542</c:v>
                </c:pt>
                <c:pt idx="7">
                  <c:v>-0.806321561038542</c:v>
                </c:pt>
                <c:pt idx="8">
                  <c:v>-0.75794226737623</c:v>
                </c:pt>
                <c:pt idx="9">
                  <c:v>-0.75794226737623</c:v>
                </c:pt>
                <c:pt idx="10">
                  <c:v>0.75794226737623</c:v>
                </c:pt>
                <c:pt idx="11">
                  <c:v>0.75794226737623</c:v>
                </c:pt>
                <c:pt idx="12">
                  <c:v>0.806321561038542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"Viga"</c:f>
              <c:strCache>
                <c:ptCount val="1"/>
                <c:pt idx="0">
                  <c:v>Viga</c:v>
                </c:pt>
              </c:strCache>
            </c:strRef>
          </c:tx>
          <c:spPr>
            <a:solidFill>
              <a:srgbClr val="1f2a44"/>
            </a:solidFill>
            <a:ln w="19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DIBUJO!$G$4:$G$11</c:f>
              <c:numCache>
                <c:formatCode>General</c:formatCode>
                <c:ptCount val="8"/>
                <c:pt idx="0">
                  <c:v>0.943396226415094</c:v>
                </c:pt>
                <c:pt idx="1">
                  <c:v>-0.145137880986938</c:v>
                </c:pt>
                <c:pt idx="2">
                  <c:v>-0.145137880986938</c:v>
                </c:pt>
                <c:pt idx="3">
                  <c:v>-0.507982583454282</c:v>
                </c:pt>
                <c:pt idx="4">
                  <c:v>-0.507982583454282</c:v>
                </c:pt>
                <c:pt idx="5">
                  <c:v>-0.507982583454282</c:v>
                </c:pt>
                <c:pt idx="6">
                  <c:v>-0.507982583454282</c:v>
                </c:pt>
                <c:pt idx="7">
                  <c:v>0.943396226415094</c:v>
                </c:pt>
              </c:numCache>
            </c:numRef>
          </c:xVal>
          <c:yVal>
            <c:numRef>
              <c:f>DIBUJO!$H$4:$H$11</c:f>
              <c:numCache>
                <c:formatCode>General</c:formatCode>
                <c:ptCount val="8"/>
                <c:pt idx="0">
                  <c:v>0.806321561038542</c:v>
                </c:pt>
                <c:pt idx="1">
                  <c:v>0.806321561038542</c:v>
                </c:pt>
                <c:pt idx="2">
                  <c:v>0.685373326882761</c:v>
                </c:pt>
                <c:pt idx="3">
                  <c:v>0.685373326882761</c:v>
                </c:pt>
                <c:pt idx="4">
                  <c:v>-0.403160780519271</c:v>
                </c:pt>
                <c:pt idx="5">
                  <c:v>-0.403160780519271</c:v>
                </c:pt>
                <c:pt idx="6">
                  <c:v>-0.403160780519271</c:v>
                </c:pt>
                <c:pt idx="7">
                  <c:v>-0.403160780519271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 sup"</c:f>
              <c:strCache>
                <c:ptCount val="1"/>
                <c:pt idx="0">
                  <c:v>Ala sup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DIBUJO!$J$4:$J$5</c:f>
              <c:numCache>
                <c:formatCode>General</c:formatCode>
                <c:ptCount val="2"/>
                <c:pt idx="0">
                  <c:v>-0.145137880986938</c:v>
                </c:pt>
                <c:pt idx="1">
                  <c:v>0.943396226415094</c:v>
                </c:pt>
              </c:numCache>
            </c:numRef>
          </c:xVal>
          <c:yVal>
            <c:numRef>
              <c:f>DIBUJO!$K$4:$K$5</c:f>
              <c:numCache>
                <c:formatCode>General</c:formatCode>
                <c:ptCount val="2"/>
                <c:pt idx="0">
                  <c:v>0.766005482986615</c:v>
                </c:pt>
                <c:pt idx="1">
                  <c:v>0.766005482986615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"Ala inf"</c:f>
              <c:strCache>
                <c:ptCount val="1"/>
                <c:pt idx="0">
                  <c:v>Ala inf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DIBUJO!$M$4:$M$5</c:f>
              <c:numCache>
                <c:formatCode>General</c:formatCode>
                <c:ptCount val="2"/>
                <c:pt idx="0">
                  <c:v>-0.507982583454282</c:v>
                </c:pt>
                <c:pt idx="1">
                  <c:v>0.943396226415094</c:v>
                </c:pt>
              </c:numCache>
            </c:numRef>
          </c:xVal>
          <c:yVal>
            <c:numRef>
              <c:f>DIBUJO!$N$4:$N$5</c:f>
              <c:numCache>
                <c:formatCode>General</c:formatCode>
                <c:ptCount val="2"/>
                <c:pt idx="0">
                  <c:v>-0.362844702467344</c:v>
                </c:pt>
                <c:pt idx="1">
                  <c:v>-0.362844702467344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"Elemento"</c:f>
              <c:strCache>
                <c:ptCount val="1"/>
                <c:pt idx="0">
                  <c:v>Elemento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DIBUJO!$P$4:$P$8</c:f>
              <c:numCache>
                <c:formatCode>General</c:formatCode>
                <c:ptCount val="5"/>
                <c:pt idx="0">
                  <c:v>-0.568456700532172</c:v>
                </c:pt>
                <c:pt idx="1">
                  <c:v>-0.568456700532172</c:v>
                </c:pt>
                <c:pt idx="2">
                  <c:v>-0.124979841960974</c:v>
                </c:pt>
                <c:pt idx="3">
                  <c:v>-0.124979841960974</c:v>
                </c:pt>
                <c:pt idx="4">
                  <c:v>-0.568456700532172</c:v>
                </c:pt>
              </c:numCache>
            </c:numRef>
          </c:xVal>
          <c:yVal>
            <c:numRef>
              <c:f>DIBUJO!$Q$4:$Q$8</c:f>
              <c:numCache>
                <c:formatCode>General</c:formatCode>
                <c:ptCount val="5"/>
                <c:pt idx="0">
                  <c:v>0.665215287856797</c:v>
                </c:pt>
                <c:pt idx="1">
                  <c:v>-0.221738429285599</c:v>
                </c:pt>
                <c:pt idx="2">
                  <c:v>-0.221738429285599</c:v>
                </c:pt>
                <c:pt idx="3">
                  <c:v>0.665215287856797</c:v>
                </c:pt>
                <c:pt idx="4">
                  <c:v>0.665215287856797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"Pernos"</c:f>
              <c:strCache>
                <c:ptCount val="1"/>
                <c:pt idx="0">
                  <c:v>Pernos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DIBUJO!$S$4:$S$15</c:f>
              <c:numCache>
                <c:formatCode>General</c:formatCode>
                <c:ptCount val="12"/>
                <c:pt idx="0">
                  <c:v>-0.306402193194646</c:v>
                </c:pt>
                <c:pt idx="1">
                  <c:v>-0.306402193194646</c:v>
                </c:pt>
                <c:pt idx="2">
                  <c:v>-0.306402193194646</c:v>
                </c:pt>
                <c:pt idx="3">
                  <c:v>-0.306402193194646</c:v>
                </c:pt>
                <c:pt idx="4">
                  <c:v>-0.306402193194646</c:v>
                </c:pt>
                <c:pt idx="5">
                  <c:v>-0.306402193194646</c:v>
                </c:pt>
                <c:pt idx="6">
                  <c:v>-0.306402193194646</c:v>
                </c:pt>
                <c:pt idx="7">
                  <c:v>-0.306402193194646</c:v>
                </c:pt>
                <c:pt idx="8">
                  <c:v>-0.306402193194646</c:v>
                </c:pt>
                <c:pt idx="9">
                  <c:v>-0.306402193194646</c:v>
                </c:pt>
                <c:pt idx="10">
                  <c:v>-0.306402193194646</c:v>
                </c:pt>
                <c:pt idx="11">
                  <c:v>-0.306402193194646</c:v>
                </c:pt>
              </c:numCache>
            </c:numRef>
          </c:xVal>
          <c:yVal>
            <c:numRef>
              <c:f>DIBUJO!$T$4:$T$15</c:f>
              <c:numCache>
                <c:formatCode>General</c:formatCode>
                <c:ptCount val="12"/>
                <c:pt idx="0">
                  <c:v>0.524109014675052</c:v>
                </c:pt>
                <c:pt idx="1">
                  <c:v>0.221738429285599</c:v>
                </c:pt>
                <c:pt idx="2">
                  <c:v>-0.0806321561038542</c:v>
                </c:pt>
                <c:pt idx="3">
                  <c:v>-0.0806321561038542</c:v>
                </c:pt>
                <c:pt idx="4">
                  <c:v>-0.0806321561038542</c:v>
                </c:pt>
                <c:pt idx="5">
                  <c:v>-0.0806321561038542</c:v>
                </c:pt>
                <c:pt idx="6">
                  <c:v>-0.0806321561038542</c:v>
                </c:pt>
                <c:pt idx="7">
                  <c:v>-0.0806321561038542</c:v>
                </c:pt>
                <c:pt idx="8">
                  <c:v>-0.0806321561038542</c:v>
                </c:pt>
                <c:pt idx="9">
                  <c:v>-0.0806321561038542</c:v>
                </c:pt>
                <c:pt idx="10">
                  <c:v>-0.0806321561038542</c:v>
                </c:pt>
                <c:pt idx="11">
                  <c:v>-0.0806321561038542</c:v>
                </c:pt>
              </c:numCache>
            </c:numRef>
          </c:yVal>
          <c:smooth val="0"/>
        </c:ser>
        <c:axId val="46844482"/>
        <c:axId val="36158903"/>
      </c:scatterChart>
      <c:valAx>
        <c:axId val="46844482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58903"/>
        <c:crosses val="autoZero"/>
        <c:crossBetween val="midCat"/>
      </c:valAx>
      <c:valAx>
        <c:axId val="36158903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444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"Alma VP"</c:f>
              <c:strCache>
                <c:ptCount val="1"/>
                <c:pt idx="0">
                  <c:v>Alma VP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DIBUJO!$V$4:$V$8</c:f>
              <c:numCache>
                <c:formatCode>General</c:formatCode>
                <c:ptCount val="5"/>
                <c:pt idx="0">
                  <c:v>-0.592646347363329</c:v>
                </c:pt>
                <c:pt idx="1">
                  <c:v>-0.592646347363329</c:v>
                </c:pt>
                <c:pt idx="2">
                  <c:v>-0.568456700532172</c:v>
                </c:pt>
                <c:pt idx="3">
                  <c:v>-0.568456700532172</c:v>
                </c:pt>
                <c:pt idx="4">
                  <c:v>-0.592646347363329</c:v>
                </c:pt>
              </c:numCache>
            </c:numRef>
          </c:xVal>
          <c:yVal>
            <c:numRef>
              <c:f>DIBUJO!$W$4:$W$8</c:f>
              <c:numCache>
                <c:formatCode>General</c:formatCode>
                <c:ptCount val="5"/>
                <c:pt idx="0">
                  <c:v>-0.483792936623125</c:v>
                </c:pt>
                <c:pt idx="1">
                  <c:v>0.483792936623125</c:v>
                </c:pt>
                <c:pt idx="2">
                  <c:v>0.483792936623125</c:v>
                </c:pt>
                <c:pt idx="3">
                  <c:v>-0.483792936623125</c:v>
                </c:pt>
                <c:pt idx="4">
                  <c:v>-0.483792936623125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"Alas VP"</c:f>
              <c:strCache>
                <c:ptCount val="1"/>
                <c:pt idx="0">
                  <c:v>Alas VP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DIBUJO!$Y$4:$Y$5</c:f>
              <c:numCache>
                <c:formatCode>General</c:formatCode>
                <c:ptCount val="2"/>
                <c:pt idx="0">
                  <c:v>-0.943396226415094</c:v>
                </c:pt>
                <c:pt idx="1">
                  <c:v>-0.943396226415094</c:v>
                </c:pt>
              </c:numCache>
            </c:numRef>
          </c:xVal>
          <c:yVal>
            <c:numRef>
              <c:f>DIBUJO!$Z$4:$Z$5</c:f>
              <c:numCache>
                <c:formatCode>General</c:formatCode>
                <c:ptCount val="2"/>
                <c:pt idx="0">
                  <c:v>-0.483792936623125</c:v>
                </c:pt>
                <c:pt idx="1">
                  <c:v>0.483792936623125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"Alas VP2"</c:f>
              <c:strCache>
                <c:ptCount val="1"/>
                <c:pt idx="0">
                  <c:v>Alas VP2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DIBUJO!$AB$4:$AB$5</c:f>
              <c:numCache>
                <c:formatCode>General</c:formatCode>
                <c:ptCount val="2"/>
                <c:pt idx="0">
                  <c:v>-0.217706821480406</c:v>
                </c:pt>
                <c:pt idx="1">
                  <c:v>-0.217706821480406</c:v>
                </c:pt>
              </c:numCache>
            </c:numRef>
          </c:xVal>
          <c:yVal>
            <c:numRef>
              <c:f>DIBUJO!$AC$4:$AC$5</c:f>
              <c:numCache>
                <c:formatCode>General</c:formatCode>
                <c:ptCount val="2"/>
                <c:pt idx="0">
                  <c:v>-0.483792936623125</c:v>
                </c:pt>
                <c:pt idx="1">
                  <c:v>0.483792936623125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"Alma viga"</c:f>
              <c:strCache>
                <c:ptCount val="1"/>
                <c:pt idx="0">
                  <c:v>Alma viga</c:v>
                </c:pt>
              </c:strCache>
            </c:strRef>
          </c:tx>
          <c:spPr>
            <a:solidFill>
              <a:srgbClr val="1f2a44"/>
            </a:solidFill>
            <a:ln w="1584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DIBUJO!$AE$4:$AE$7</c:f>
              <c:numCache>
                <c:formatCode>General</c:formatCode>
                <c:ptCount val="4"/>
                <c:pt idx="0">
                  <c:v>0.943396226415094</c:v>
                </c:pt>
                <c:pt idx="1">
                  <c:v>-0.507982583454282</c:v>
                </c:pt>
                <c:pt idx="2">
                  <c:v>-0.507982583454282</c:v>
                </c:pt>
                <c:pt idx="3">
                  <c:v>0.943396226415094</c:v>
                </c:pt>
              </c:numCache>
            </c:numRef>
          </c:xVal>
          <c:yVal>
            <c:numRef>
              <c:f>DIBUJO!$AF$4:$AF$7</c:f>
              <c:numCache>
                <c:formatCode>General</c:formatCode>
                <c:ptCount val="4"/>
                <c:pt idx="0">
                  <c:v>0.00806321561038542</c:v>
                </c:pt>
                <c:pt idx="1">
                  <c:v>0.00806321561038542</c:v>
                </c:pt>
                <c:pt idx="2">
                  <c:v>-0.00806321561038542</c:v>
                </c:pt>
                <c:pt idx="3">
                  <c:v>-0.00806321561038542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"Ala viga"</c:f>
              <c:strCache>
                <c:ptCount val="1"/>
                <c:pt idx="0">
                  <c:v>Ala viga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DIBUJO!$AH$4:$AH$7</c:f>
              <c:numCache>
                <c:formatCode>General</c:formatCode>
                <c:ptCount val="4"/>
                <c:pt idx="0">
                  <c:v>0.943396226415094</c:v>
                </c:pt>
                <c:pt idx="1">
                  <c:v>-0.145137880986938</c:v>
                </c:pt>
                <c:pt idx="2">
                  <c:v>-0.145137880986938</c:v>
                </c:pt>
                <c:pt idx="3">
                  <c:v>0.943396226415094</c:v>
                </c:pt>
              </c:numCache>
            </c:numRef>
          </c:xVal>
          <c:yVal>
            <c:numRef>
              <c:f>DIBUJO!$AI$4:$AI$7</c:f>
              <c:numCache>
                <c:formatCode>General</c:formatCode>
                <c:ptCount val="4"/>
                <c:pt idx="0">
                  <c:v>0.302370585389453</c:v>
                </c:pt>
                <c:pt idx="1">
                  <c:v>0.302370585389453</c:v>
                </c:pt>
                <c:pt idx="2">
                  <c:v>-0.302370585389453</c:v>
                </c:pt>
                <c:pt idx="3">
                  <c:v>-0.302370585389453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DIBUJO!$AK$4:$AK$8</c:f>
              <c:numCache>
                <c:formatCode>General</c:formatCode>
                <c:ptCount val="5"/>
                <c:pt idx="0">
                  <c:v>-0.568456700532172</c:v>
                </c:pt>
                <c:pt idx="1">
                  <c:v>-0.568456700532172</c:v>
                </c:pt>
                <c:pt idx="2">
                  <c:v>-0.124979841960974</c:v>
                </c:pt>
                <c:pt idx="3">
                  <c:v>-0.124979841960974</c:v>
                </c:pt>
                <c:pt idx="4">
                  <c:v>-0.568456700532172</c:v>
                </c:pt>
              </c:numCache>
            </c:numRef>
          </c:xVal>
          <c:yVal>
            <c:numRef>
              <c:f>DIBUJO!$AL$4:$AL$8</c:f>
              <c:numCache>
                <c:formatCode>General</c:formatCode>
                <c:ptCount val="5"/>
                <c:pt idx="0">
                  <c:v>0.00806321561038542</c:v>
                </c:pt>
                <c:pt idx="1">
                  <c:v>0.0403160780519271</c:v>
                </c:pt>
                <c:pt idx="2">
                  <c:v>0.0403160780519271</c:v>
                </c:pt>
                <c:pt idx="3">
                  <c:v>0.00806321561038542</c:v>
                </c:pt>
                <c:pt idx="4">
                  <c:v>0.00806321561038542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"Ángulo 1"</c:f>
              <c:strCache>
                <c:ptCount val="1"/>
                <c:pt idx="0">
                  <c:v>Ángulo 1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DIBUJO!$AN$4:$AN$10</c:f>
              <c:numCache>
                <c:formatCode>General</c:formatCode>
                <c:ptCount val="7"/>
                <c:pt idx="0">
                  <c:v>-0.568456700532172</c:v>
                </c:pt>
                <c:pt idx="1">
                  <c:v>-0.568456700532172</c:v>
                </c:pt>
                <c:pt idx="2">
                  <c:v>-0.568456700532172</c:v>
                </c:pt>
                <c:pt idx="3">
                  <c:v>-0.568456700532172</c:v>
                </c:pt>
                <c:pt idx="4">
                  <c:v>-0.568456700532172</c:v>
                </c:pt>
                <c:pt idx="5">
                  <c:v>-0.568456700532172</c:v>
                </c:pt>
                <c:pt idx="6">
                  <c:v>-0.568456700532172</c:v>
                </c:pt>
              </c:numCache>
            </c:numRef>
          </c:xVal>
          <c:yVal>
            <c:numRef>
              <c:f>DIBUJO!$AO$4:$AO$10</c:f>
              <c:numCache>
                <c:formatCode>General</c:formatCode>
                <c:ptCount val="7"/>
                <c:pt idx="0">
                  <c:v>0.00806321561038542</c:v>
                </c:pt>
                <c:pt idx="1">
                  <c:v>0.00806321561038542</c:v>
                </c:pt>
                <c:pt idx="2">
                  <c:v>0.00806321561038542</c:v>
                </c:pt>
                <c:pt idx="3">
                  <c:v>0.00806321561038542</c:v>
                </c:pt>
                <c:pt idx="4">
                  <c:v>0.00806321561038542</c:v>
                </c:pt>
                <c:pt idx="5">
                  <c:v>0.00806321561038542</c:v>
                </c:pt>
                <c:pt idx="6">
                  <c:v>0.00806321561038542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"Ángulo 2"</c:f>
              <c:strCache>
                <c:ptCount val="1"/>
                <c:pt idx="0">
                  <c:v>Ángulo 2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DIBUJO!$AQ$4:$AQ$10</c:f>
              <c:numCache>
                <c:formatCode>General</c:formatCode>
                <c:ptCount val="7"/>
                <c:pt idx="0">
                  <c:v>-0.568456700532172</c:v>
                </c:pt>
                <c:pt idx="1">
                  <c:v>-0.568456700532172</c:v>
                </c:pt>
                <c:pt idx="2">
                  <c:v>-0.568456700532172</c:v>
                </c:pt>
                <c:pt idx="3">
                  <c:v>-0.568456700532172</c:v>
                </c:pt>
                <c:pt idx="4">
                  <c:v>-0.568456700532172</c:v>
                </c:pt>
                <c:pt idx="5">
                  <c:v>-0.568456700532172</c:v>
                </c:pt>
                <c:pt idx="6">
                  <c:v>-0.568456700532172</c:v>
                </c:pt>
              </c:numCache>
            </c:numRef>
          </c:xVal>
          <c:yVal>
            <c:numRef>
              <c:f>DIBUJO!$AR$4:$AR$10</c:f>
              <c:numCache>
                <c:formatCode>General</c:formatCode>
                <c:ptCount val="7"/>
                <c:pt idx="0">
                  <c:v>-0.00806321561038542</c:v>
                </c:pt>
                <c:pt idx="1">
                  <c:v>-0.00806321561038542</c:v>
                </c:pt>
                <c:pt idx="2">
                  <c:v>-0.00806321561038542</c:v>
                </c:pt>
                <c:pt idx="3">
                  <c:v>-0.00806321561038542</c:v>
                </c:pt>
                <c:pt idx="4">
                  <c:v>-0.00806321561038542</c:v>
                </c:pt>
                <c:pt idx="5">
                  <c:v>-0.00806321561038542</c:v>
                </c:pt>
                <c:pt idx="6">
                  <c:v>-0.00806321561038542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"Perno viga"</c:f>
              <c:strCache>
                <c:ptCount val="1"/>
                <c:pt idx="0">
                  <c:v>Perno viga</c:v>
                </c:pt>
              </c:strCache>
            </c:strRef>
          </c:tx>
          <c:spPr>
            <a:solidFill>
              <a:srgbClr val="404040"/>
            </a:solidFill>
            <a:ln w="2556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DIBUJO!$AT$4:$AT$5</c:f>
              <c:numCache>
                <c:formatCode>General</c:formatCode>
                <c:ptCount val="2"/>
                <c:pt idx="0">
                  <c:v>-0.306402193194646</c:v>
                </c:pt>
                <c:pt idx="1">
                  <c:v>-0.306402193194646</c:v>
                </c:pt>
              </c:numCache>
            </c:numRef>
          </c:xVal>
          <c:yVal>
            <c:numRef>
              <c:f>DIBUJO!$AU$4:$AU$5</c:f>
              <c:numCache>
                <c:formatCode>General</c:formatCode>
                <c:ptCount val="2"/>
                <c:pt idx="0">
                  <c:v>-0.0403160780519271</c:v>
                </c:pt>
                <c:pt idx="1">
                  <c:v>0.0725689404934688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"Perno sop. 1"</c:f>
              <c:strCache>
                <c:ptCount val="1"/>
                <c:pt idx="0">
                  <c:v>Perno sop. 1</c:v>
                </c:pt>
              </c:strCache>
            </c:strRef>
          </c:tx>
          <c:spPr>
            <a:solidFill>
              <a:srgbClr val="404040"/>
            </a:solidFill>
            <a:ln w="2556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DIBUJO!$AW$4:$AW$5</c:f>
              <c:numCache>
                <c:formatCode>General</c:formatCode>
                <c:ptCount val="2"/>
                <c:pt idx="0">
                  <c:v>-0.62489920980487</c:v>
                </c:pt>
                <c:pt idx="1">
                  <c:v>-0.536203838090631</c:v>
                </c:pt>
              </c:numCache>
            </c:numRef>
          </c:xVal>
          <c:yVal>
            <c:numRef>
              <c:f>DIBUJO!$AX$4:$AX$5</c:f>
              <c:numCache>
                <c:formatCode>General</c:formatCode>
                <c:ptCount val="2"/>
                <c:pt idx="0">
                  <c:v>0.00806321561038542</c:v>
                </c:pt>
                <c:pt idx="1">
                  <c:v>0.00806321561038542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"Perno sop. 2"</c:f>
              <c:strCache>
                <c:ptCount val="1"/>
                <c:pt idx="0">
                  <c:v>Perno sop. 2</c:v>
                </c:pt>
              </c:strCache>
            </c:strRef>
          </c:tx>
          <c:spPr>
            <a:solidFill>
              <a:srgbClr val="404040"/>
            </a:solidFill>
            <a:ln w="25560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DIBUJO!$AZ$4:$AZ$5</c:f>
              <c:numCache>
                <c:formatCode>General</c:formatCode>
                <c:ptCount val="2"/>
                <c:pt idx="0">
                  <c:v>-0.62489920980487</c:v>
                </c:pt>
                <c:pt idx="1">
                  <c:v>-0.536203838090631</c:v>
                </c:pt>
              </c:numCache>
            </c:numRef>
          </c:xVal>
          <c:yVal>
            <c:numRef>
              <c:f>DIBUJO!$BA$4:$BA$5</c:f>
              <c:numCache>
                <c:formatCode>General</c:formatCode>
                <c:ptCount val="2"/>
                <c:pt idx="0">
                  <c:v>-0.00806321561038542</c:v>
                </c:pt>
                <c:pt idx="1">
                  <c:v>-0.00806321561038542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"Soldadura"</c:f>
              <c:strCache>
                <c:ptCount val="1"/>
                <c:pt idx="0">
                  <c:v>Soldadura</c:v>
                </c:pt>
              </c:strCache>
            </c:strRef>
          </c:tx>
          <c:spPr>
            <a:solidFill>
              <a:srgbClr val="c00000"/>
            </a:solidFill>
            <a:ln w="38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DIBUJO!$BC$4:$BC$5</c:f>
              <c:numCache>
                <c:formatCode>General</c:formatCode>
                <c:ptCount val="2"/>
                <c:pt idx="0">
                  <c:v>-0.568456700532172</c:v>
                </c:pt>
                <c:pt idx="1">
                  <c:v>-0.568456700532172</c:v>
                </c:pt>
              </c:numCache>
            </c:numRef>
          </c:xVal>
          <c:yVal>
            <c:numRef>
              <c:f>DIBUJO!$BD$4:$BD$5</c:f>
              <c:numCache>
                <c:formatCode>General</c:formatCode>
                <c:ptCount val="2"/>
                <c:pt idx="0">
                  <c:v>0.00806321561038542</c:v>
                </c:pt>
                <c:pt idx="1">
                  <c:v>0.0403160780519271</c:v>
                </c:pt>
              </c:numCache>
            </c:numRef>
          </c:yVal>
          <c:smooth val="0"/>
        </c:ser>
        <c:axId val="76242635"/>
        <c:axId val="11741562"/>
      </c:scatterChart>
      <c:valAx>
        <c:axId val="76242635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41562"/>
        <c:crosses val="autoZero"/>
        <c:crossBetween val="midCat"/>
      </c:valAx>
      <c:valAx>
        <c:axId val="11741562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426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402120</xdr:colOff>
      <xdr:row>17</xdr:row>
      <xdr:rowOff>165600</xdr:rowOff>
    </xdr:to>
    <xdr:graphicFrame>
      <xdr:nvGraphicFramePr>
        <xdr:cNvPr id="0" name="Chart 1"/>
        <xdr:cNvGraphicFramePr/>
      </xdr:nvGraphicFramePr>
      <xdr:xfrm>
        <a:off x="504072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17</xdr:row>
      <xdr:rowOff>165600</xdr:rowOff>
    </xdr:to>
    <xdr:graphicFrame>
      <xdr:nvGraphicFramePr>
        <xdr:cNvPr id="1" name="Chart 2"/>
        <xdr:cNvGraphicFramePr/>
      </xdr:nvGraphicFramePr>
      <xdr:xfrm>
        <a:off x="778968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5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7"/>
    <col collapsed="false" customWidth="true" hidden="false" outlineLevel="0" max="12" min="8" style="0" width="11"/>
    <col collapsed="false" customWidth="true" hidden="false" outlineLevel="0" max="13" min="13" style="0" width="1.51"/>
    <col collapsed="false" customWidth="true" hidden="false" outlineLevel="0" max="14" min="14" style="0" width="40"/>
    <col collapsed="false" customWidth="true" hidden="false" outlineLevel="0" max="15" min="15" style="0" width="17"/>
    <col collapsed="false" customWidth="true" hidden="false" outlineLevel="0" max="17" min="16" style="0" width="10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IF(MAX(R12:R53)&gt;1,"✖  NO CUMPLE — ratio máx. "&amp;TEXT(MAX(R12:R53),"0.00"),IF(MAX(R12:R53)&gt;lim_verde,"▲  CUMPLE AL LÍMITE — ratio máx. "&amp;TEXT(MAX(R12:R53),"0.00"),"✔  CUMPLE — ratio máx. "&amp;TEXT(MAX(R12:R53),"0.00")))</f>
        <v>✔  CUMPLE — ratio máx. 0.89</v>
      </c>
      <c r="O7" s="9"/>
      <c r="P7" s="9"/>
      <c r="Q7" s="9"/>
      <c r="R7" s="9"/>
      <c r="S7" s="9"/>
      <c r="T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24" hidden="false" customHeight="true" outlineLevel="0" collapsed="false">
      <c r="B10" s="2" t="s">
        <v>15</v>
      </c>
      <c r="C10" s="2"/>
      <c r="D10" s="2"/>
      <c r="E10" s="2"/>
      <c r="N10" s="12" t="s">
        <v>16</v>
      </c>
      <c r="O10" s="12" t="s">
        <v>17</v>
      </c>
      <c r="P10" s="12" t="s">
        <v>18</v>
      </c>
      <c r="Q10" s="12" t="s">
        <v>19</v>
      </c>
      <c r="R10" s="12" t="s">
        <v>20</v>
      </c>
      <c r="S10" s="12" t="s">
        <v>21</v>
      </c>
      <c r="T10" s="12" t="s">
        <v>22</v>
      </c>
    </row>
    <row r="11" customFormat="false" ht="15" hidden="false" customHeight="false" outlineLevel="0" collapsed="false">
      <c r="B11" s="7" t="s">
        <v>23</v>
      </c>
      <c r="C11" s="13" t="s">
        <v>24</v>
      </c>
      <c r="D11" s="13"/>
      <c r="N11" s="14" t="s">
        <v>25</v>
      </c>
      <c r="O11" s="14"/>
      <c r="P11" s="14"/>
      <c r="Q11" s="14"/>
      <c r="R11" s="14"/>
      <c r="S11" s="14"/>
      <c r="T11" s="14"/>
    </row>
    <row r="12" customFormat="false" ht="15" hidden="false" customHeight="false" outlineLevel="0" collapsed="false">
      <c r="B12" s="7" t="s">
        <v>26</v>
      </c>
      <c r="C12" s="10" t="n">
        <v>6</v>
      </c>
      <c r="D12" s="11" t="s">
        <v>27</v>
      </c>
      <c r="N12" s="15" t="s">
        <v>28</v>
      </c>
      <c r="O12" s="16" t="s">
        <v>29</v>
      </c>
      <c r="P12" s="17" t="n">
        <f aca="false">p_r/1000</f>
        <v>2.38537208837531</v>
      </c>
      <c r="Q12" s="17" t="n">
        <f aca="false">p_rv/1000</f>
        <v>8.11674125774943</v>
      </c>
      <c r="R12" s="18" t="n">
        <f aca="false">(p_r/1000)/MAX(p_rv/1000,0.000000001)</f>
        <v>0.29388297749394</v>
      </c>
      <c r="S12" s="19" t="s">
        <v>27</v>
      </c>
      <c r="T12" s="20" t="str">
        <f aca="false">IF(ISNUMBER(R12),IF(R12&gt;1,"NO CUMPLE",IF(R12&gt;lim_verde,"AL LÍMITE","CUMPLE")),"N/A")</f>
        <v>CUMPLE</v>
      </c>
    </row>
    <row r="13" customFormat="false" ht="15" hidden="false" customHeight="false" outlineLevel="0" collapsed="false">
      <c r="B13" s="7" t="s">
        <v>30</v>
      </c>
      <c r="C13" s="10" t="n">
        <v>0</v>
      </c>
      <c r="D13" s="11" t="s">
        <v>27</v>
      </c>
      <c r="N13" s="15" t="s">
        <v>31</v>
      </c>
      <c r="O13" s="16" t="s">
        <v>32</v>
      </c>
      <c r="P13" s="17" t="n">
        <f aca="false">p_r/1000</f>
        <v>2.38537208837531</v>
      </c>
      <c r="Q13" s="17" t="n">
        <f aca="false">p_rbw/1000</f>
        <v>4.88315925</v>
      </c>
      <c r="R13" s="18" t="n">
        <f aca="false">(p_r/1000)/MAX(p_rbw/1000,0.000000001)</f>
        <v>0.488489513909528</v>
      </c>
      <c r="S13" s="19" t="s">
        <v>27</v>
      </c>
      <c r="T13" s="20" t="str">
        <f aca="false">IF(ISNUMBER(R13),IF(R13&gt;1,"NO CUMPLE",IF(R13&gt;lim_verde,"AL LÍMITE","CUMPLE")),"N/A")</f>
        <v>CUMPLE</v>
      </c>
    </row>
    <row r="14" customFormat="false" ht="15" hidden="false" customHeight="false" outlineLevel="0" collapsed="false">
      <c r="B14" s="2" t="s">
        <v>33</v>
      </c>
      <c r="C14" s="2"/>
      <c r="D14" s="2"/>
      <c r="E14" s="2"/>
      <c r="N14" s="15" t="s">
        <v>34</v>
      </c>
      <c r="O14" s="16" t="s">
        <v>32</v>
      </c>
      <c r="P14" s="17" t="n">
        <f aca="false">p_r/1000</f>
        <v>2.38537208837531</v>
      </c>
      <c r="Q14" s="17" t="n">
        <f aca="false">p_rbe/1000</f>
        <v>7.250364</v>
      </c>
      <c r="R14" s="18" t="n">
        <f aca="false">(p_r/1000)/MAX(p_rbe/1000,0.000000001)</f>
        <v>0.329000321690789</v>
      </c>
      <c r="S14" s="19" t="s">
        <v>27</v>
      </c>
      <c r="T14" s="20" t="str">
        <f aca="false">IF(ISNUMBER(R14),IF(R14&gt;1,"NO CUMPLE",IF(R14&gt;lim_verde,"AL LÍMITE","CUMPLE")),"N/A")</f>
        <v>CUMPLE</v>
      </c>
    </row>
    <row r="15" customFormat="false" ht="15" hidden="false" customHeight="false" outlineLevel="0" collapsed="false">
      <c r="B15" s="7" t="s">
        <v>35</v>
      </c>
      <c r="C15" s="13" t="s">
        <v>36</v>
      </c>
      <c r="D15" s="13"/>
      <c r="E15" s="3" t="s">
        <v>37</v>
      </c>
      <c r="N15" s="14" t="s">
        <v>38</v>
      </c>
      <c r="O15" s="14"/>
      <c r="P15" s="14"/>
      <c r="Q15" s="14"/>
      <c r="R15" s="14"/>
      <c r="S15" s="14"/>
      <c r="T15" s="14"/>
    </row>
    <row r="16" customFormat="false" ht="15" hidden="false" customHeight="false" outlineLevel="0" collapsed="false">
      <c r="B16" s="7" t="s">
        <v>39</v>
      </c>
      <c r="C16" s="21" t="n">
        <f aca="false">IF(vg_perfil="ARMADO (flejes soldados)",E16,INDEX(CATALOGOS!$B$5:$B$40,MATCH(vg_perfil,CATALOGOS!$A$5:$A$40,0)))</f>
        <v>300</v>
      </c>
      <c r="D16" s="11" t="s">
        <v>40</v>
      </c>
      <c r="E16" s="13" t="n">
        <v>300</v>
      </c>
      <c r="N16" s="15" t="s">
        <v>41</v>
      </c>
      <c r="O16" s="16" t="s">
        <v>42</v>
      </c>
      <c r="P16" s="17" t="str">
        <f aca="false">IF(t_da=0,"—",k_R/1000)</f>
        <v>—</v>
      </c>
      <c r="Q16" s="17" t="str">
        <f aca="false">IF(t_da=0,"—",q_rv/1000)</f>
        <v>—</v>
      </c>
      <c r="R16" s="18" t="str">
        <f aca="false">IF(t_da=0,"N/A",(k_R/1000)/MAX(q_rv/1000,0.000000001))</f>
        <v>N/A</v>
      </c>
      <c r="S16" s="19" t="s">
        <v>27</v>
      </c>
      <c r="T16" s="20" t="str">
        <f aca="false">IF(ISNUMBER(R16),IF(R16&gt;1,"NO CUMPLE",IF(R16&gt;lim_verde,"AL LÍMITE","CUMPLE")),"N/A")</f>
        <v>N/A</v>
      </c>
    </row>
    <row r="17" customFormat="false" ht="15" hidden="false" customHeight="false" outlineLevel="0" collapsed="false">
      <c r="B17" s="7" t="s">
        <v>43</v>
      </c>
      <c r="C17" s="21" t="n">
        <f aca="false">IF(vg_perfil="ARMADO (flejes soldados)",E17,INDEX(CATALOGOS!$C$5:$C$40,MATCH(vg_perfil,CATALOGOS!$A$5:$A$40,0)))</f>
        <v>150</v>
      </c>
      <c r="D17" s="11" t="s">
        <v>40</v>
      </c>
      <c r="E17" s="13" t="n">
        <v>150</v>
      </c>
      <c r="N17" s="15" t="s">
        <v>44</v>
      </c>
      <c r="O17" s="16" t="s">
        <v>32</v>
      </c>
      <c r="P17" s="17" t="str">
        <f aca="false">IF(t_da=0,"—",k_R/1000)</f>
        <v>—</v>
      </c>
      <c r="Q17" s="17" t="str">
        <f aca="false">IF(t_da=0,"—",q_rba/1000)</f>
        <v>—</v>
      </c>
      <c r="R17" s="18" t="str">
        <f aca="false">IF(t_da=0,"N/A",(k_R/1000)/MAX(q_rba/1000,0.000000001))</f>
        <v>N/A</v>
      </c>
      <c r="S17" s="19" t="s">
        <v>27</v>
      </c>
      <c r="T17" s="20" t="str">
        <f aca="false">IF(ISNUMBER(R17),IF(R17&gt;1,"NO CUMPLE",IF(R17&gt;lim_verde,"AL LÍMITE","CUMPLE")),"N/A")</f>
        <v>N/A</v>
      </c>
    </row>
    <row r="18" customFormat="false" ht="15" hidden="false" customHeight="false" outlineLevel="0" collapsed="false">
      <c r="B18" s="7" t="s">
        <v>45</v>
      </c>
      <c r="C18" s="21" t="n">
        <f aca="false">IF(vg_perfil="ARMADO (flejes soldados)",E18,INDEX(CATALOGOS!$D$5:$D$40,MATCH(vg_perfil,CATALOGOS!$A$5:$A$40,0)))</f>
        <v>4</v>
      </c>
      <c r="D18" s="11" t="s">
        <v>40</v>
      </c>
      <c r="E18" s="13" t="n">
        <v>5</v>
      </c>
      <c r="N18" s="15" t="s">
        <v>46</v>
      </c>
      <c r="O18" s="16" t="s">
        <v>32</v>
      </c>
      <c r="P18" s="17" t="str">
        <f aca="false">IF(t_da=0,"—",(k_R+Ru_op*1000)/1000)</f>
        <v>—</v>
      </c>
      <c r="Q18" s="17" t="str">
        <f aca="false">IF(t_da=0,"—",q_rbg/1000)</f>
        <v>—</v>
      </c>
      <c r="R18" s="18" t="str">
        <f aca="false">IF(t_da=0,"N/A",((k_R+Ru_op*1000)/1000)/MAX(q_rbg/1000,0.000000001))</f>
        <v>N/A</v>
      </c>
      <c r="S18" s="19" t="s">
        <v>27</v>
      </c>
      <c r="T18" s="20" t="str">
        <f aca="false">IF(ISNUMBER(R18),IF(R18&gt;1,"NO CUMPLE",IF(R18&gt;lim_verde,"AL LÍMITE","CUMPLE")),"N/A")</f>
        <v>N/A</v>
      </c>
    </row>
    <row r="19" customFormat="false" ht="15" hidden="false" customHeight="false" outlineLevel="0" collapsed="false">
      <c r="B19" s="7" t="s">
        <v>47</v>
      </c>
      <c r="C19" s="21" t="n">
        <f aca="false">IF(vg_perfil="ARMADO (flejes soldados)",E19,INDEX(CATALOGOS!$E$5:$E$40,MATCH(vg_perfil,CATALOGOS!$A$5:$A$40,0)))</f>
        <v>10</v>
      </c>
      <c r="D19" s="11" t="s">
        <v>40</v>
      </c>
      <c r="E19" s="13" t="n">
        <v>10</v>
      </c>
      <c r="N19" s="15" t="s">
        <v>48</v>
      </c>
      <c r="O19" s="16" t="s">
        <v>49</v>
      </c>
      <c r="P19" s="17" t="str">
        <f aca="false">IF(t_da=0,"—",k_R/1000)</f>
        <v>—</v>
      </c>
      <c r="Q19" s="17" t="str">
        <f aca="false">IF(t_da=0,"—",m_bso/1000)</f>
        <v>—</v>
      </c>
      <c r="R19" s="18" t="str">
        <f aca="false">IF(t_da=0,"N/A",(k_R/1000)/MAX(m_bso/1000,0.000000001))</f>
        <v>N/A</v>
      </c>
      <c r="S19" s="19" t="s">
        <v>27</v>
      </c>
      <c r="T19" s="20" t="str">
        <f aca="false">IF(ISNUMBER(R19),IF(R19&gt;1,"NO CUMPLE",IF(R19&gt;lim_verde,"AL LÍMITE","CUMPLE")),"N/A")</f>
        <v>N/A</v>
      </c>
    </row>
    <row r="20" customFormat="false" ht="15" hidden="false" customHeight="false" outlineLevel="0" collapsed="false">
      <c r="B20" s="7" t="s">
        <v>50</v>
      </c>
      <c r="C20" s="13" t="s">
        <v>51</v>
      </c>
      <c r="D20" s="13"/>
      <c r="N20" s="14" t="s">
        <v>52</v>
      </c>
      <c r="O20" s="14"/>
      <c r="P20" s="14"/>
      <c r="Q20" s="14"/>
      <c r="R20" s="14"/>
      <c r="S20" s="14"/>
      <c r="T20" s="14"/>
    </row>
    <row r="21" customFormat="false" ht="15" hidden="false" customHeight="false" outlineLevel="0" collapsed="false">
      <c r="B21" s="7" t="s">
        <v>53</v>
      </c>
      <c r="C21" s="22" t="n">
        <f aca="false">INDEX(CATALOGOS!$H$5:$H$10,MATCH(vg_acero,CATALOGOS!$G$5:$G$10,0))</f>
        <v>3515</v>
      </c>
      <c r="D21" s="11" t="s">
        <v>54</v>
      </c>
      <c r="E21" s="23" t="n">
        <f aca="false">INDEX(CATALOGOS!$I$5:$I$10,MATCH(vg_acero,CATALOGOS!$G$5:$G$10,0))</f>
        <v>4570</v>
      </c>
      <c r="G21" s="2" t="s">
        <v>55</v>
      </c>
      <c r="H21" s="2"/>
      <c r="I21" s="2"/>
      <c r="J21" s="2"/>
      <c r="K21" s="2"/>
      <c r="L21" s="2"/>
      <c r="N21" s="15" t="s">
        <v>56</v>
      </c>
      <c r="O21" s="16" t="s">
        <v>57</v>
      </c>
      <c r="P21" s="17" t="n">
        <f aca="false">k_R/1000</f>
        <v>6</v>
      </c>
      <c r="Q21" s="17" t="n">
        <f aca="false">m_vy/1000</f>
        <v>26.7168</v>
      </c>
      <c r="R21" s="18" t="n">
        <f aca="false">(k_R/1000)/MAX(m_vy/1000,0.000000001)</f>
        <v>0.224577793747754</v>
      </c>
      <c r="S21" s="19" t="s">
        <v>27</v>
      </c>
      <c r="T21" s="20" t="str">
        <f aca="false">IF(ISNUMBER(R21),IF(R21&gt;1,"NO CUMPLE",IF(R21&gt;lim_verde,"AL LÍMITE","CUMPLE")),"N/A")</f>
        <v>CUMPLE</v>
      </c>
    </row>
    <row r="22" customFormat="false" ht="15" hidden="false" customHeight="false" outlineLevel="0" collapsed="false">
      <c r="B22" s="7" t="s">
        <v>58</v>
      </c>
      <c r="C22" s="13" t="n">
        <v>5</v>
      </c>
      <c r="D22" s="11" t="s">
        <v>40</v>
      </c>
      <c r="G22" s="24" t="s">
        <v>59</v>
      </c>
      <c r="H22" s="24"/>
      <c r="I22" s="24"/>
      <c r="J22" s="24"/>
      <c r="K22" s="25" t="n">
        <f aca="false">p_e</f>
        <v>3.25</v>
      </c>
      <c r="L22" s="11" t="s">
        <v>60</v>
      </c>
      <c r="N22" s="15" t="s">
        <v>61</v>
      </c>
      <c r="O22" s="16" t="s">
        <v>62</v>
      </c>
      <c r="P22" s="17" t="n">
        <f aca="false">k_R/1000</f>
        <v>6</v>
      </c>
      <c r="Q22" s="17" t="n">
        <f aca="false">m_vr/1000</f>
        <v>22.520376</v>
      </c>
      <c r="R22" s="18" t="n">
        <f aca="false">(k_R/1000)/MAX(m_vr/1000,0.000000001)</f>
        <v>0.266425391831824</v>
      </c>
      <c r="S22" s="19" t="s">
        <v>27</v>
      </c>
      <c r="T22" s="20" t="str">
        <f aca="false">IF(ISNUMBER(R22),IF(R22&gt;1,"NO CUMPLE",IF(R22&gt;lim_verde,"AL LÍMITE","CUMPLE")),"N/A")</f>
        <v>CUMPLE</v>
      </c>
    </row>
    <row r="23" customFormat="false" ht="15" hidden="false" customHeight="false" outlineLevel="0" collapsed="false">
      <c r="B23" s="7" t="s">
        <v>63</v>
      </c>
      <c r="C23" s="13" t="s">
        <v>64</v>
      </c>
      <c r="D23" s="13"/>
      <c r="G23" s="24" t="s">
        <v>65</v>
      </c>
      <c r="H23" s="24"/>
      <c r="I23" s="24"/>
      <c r="J23" s="24"/>
      <c r="K23" s="25" t="n">
        <f aca="false">p_r/1000</f>
        <v>2.38537208837531</v>
      </c>
      <c r="L23" s="11" t="s">
        <v>27</v>
      </c>
      <c r="N23" s="15" t="s">
        <v>66</v>
      </c>
      <c r="O23" s="16" t="s">
        <v>49</v>
      </c>
      <c r="P23" s="17" t="n">
        <f aca="false">k_R/1000</f>
        <v>6</v>
      </c>
      <c r="Q23" s="17" t="n">
        <f aca="false">m_bs/1000</f>
        <v>25.14546</v>
      </c>
      <c r="R23" s="18" t="n">
        <f aca="false">(k_R/1000)/MAX(m_bs/1000,0.000000001)</f>
        <v>0.238611661906364</v>
      </c>
      <c r="S23" s="19" t="s">
        <v>27</v>
      </c>
      <c r="T23" s="20" t="str">
        <f aca="false">IF(ISNUMBER(R23),IF(R23&gt;1,"NO CUMPLE",IF(R23&gt;lim_verde,"AL LÍMITE","CUMPLE")),"N/A")</f>
        <v>CUMPLE</v>
      </c>
    </row>
    <row r="24" customFormat="false" ht="15" hidden="false" customHeight="false" outlineLevel="0" collapsed="false">
      <c r="B24" s="7" t="s">
        <v>67</v>
      </c>
      <c r="C24" s="13" t="n">
        <v>30</v>
      </c>
      <c r="D24" s="11" t="s">
        <v>40</v>
      </c>
      <c r="G24" s="24" t="s">
        <v>68</v>
      </c>
      <c r="H24" s="24"/>
      <c r="I24" s="24"/>
      <c r="J24" s="24"/>
      <c r="K24" s="25" t="n">
        <f aca="false">p_rv/1000</f>
        <v>8.11674125774943</v>
      </c>
      <c r="L24" s="11" t="s">
        <v>27</v>
      </c>
      <c r="N24" s="15" t="s">
        <v>69</v>
      </c>
      <c r="O24" s="16" t="s">
        <v>70</v>
      </c>
      <c r="P24" s="17" t="str">
        <f aca="false">IF(t_se=0,"—",x_int)</f>
        <v>—</v>
      </c>
      <c r="Q24" s="17" t="str">
        <f aca="false">IF(t_se=0,"—",1)</f>
        <v>—</v>
      </c>
      <c r="R24" s="18" t="str">
        <f aca="false">IF(t_se=0,"N/A",(x_int)/MAX(1,0.000000001))</f>
        <v>N/A</v>
      </c>
      <c r="S24" s="19" t="s">
        <v>71</v>
      </c>
      <c r="T24" s="20" t="str">
        <f aca="false">IF(ISNUMBER(R24),IF(R24&gt;1,"NO CUMPLE",IF(R24&gt;lim_verde,"AL LÍMITE","CUMPLE")),"N/A")</f>
        <v>N/A</v>
      </c>
    </row>
    <row r="25" customFormat="false" ht="15" hidden="false" customHeight="false" outlineLevel="0" collapsed="false">
      <c r="B25" s="7" t="s">
        <v>72</v>
      </c>
      <c r="C25" s="13" t="n">
        <v>90</v>
      </c>
      <c r="D25" s="11" t="s">
        <v>40</v>
      </c>
      <c r="G25" s="24" t="s">
        <v>73</v>
      </c>
      <c r="H25" s="24"/>
      <c r="I25" s="24"/>
      <c r="J25" s="24"/>
      <c r="K25" s="26" t="n">
        <f aca="false">e_L</f>
        <v>22</v>
      </c>
      <c r="L25" s="11" t="s">
        <v>60</v>
      </c>
      <c r="N25" s="15" t="s">
        <v>74</v>
      </c>
      <c r="O25" s="16" t="s">
        <v>75</v>
      </c>
      <c r="P25" s="27" t="str">
        <f aca="false">IF(t_se=0,"—",x_Mu/100000)</f>
        <v>—</v>
      </c>
      <c r="Q25" s="27" t="str">
        <f aca="false">IF(t_se=0,"—",x_Mr/100000)</f>
        <v>—</v>
      </c>
      <c r="R25" s="18" t="str">
        <f aca="false">IF(t_se=0,"N/A",(x_Mu/100000)/MAX(x_Mr/100000,0.000000001))</f>
        <v>N/A</v>
      </c>
      <c r="S25" s="19" t="s">
        <v>76</v>
      </c>
      <c r="T25" s="20" t="str">
        <f aca="false">IF(ISNUMBER(R25),IF(R25&gt;1,"NO CUMPLE",IF(R25&gt;lim_verde,"AL LÍMITE","CUMPLE")),"N/A")</f>
        <v>N/A</v>
      </c>
    </row>
    <row r="26" customFormat="false" ht="15" hidden="false" customHeight="false" outlineLevel="0" collapsed="false">
      <c r="B26" s="7" t="s">
        <v>77</v>
      </c>
      <c r="C26" s="13" t="n">
        <v>15</v>
      </c>
      <c r="D26" s="11" t="s">
        <v>40</v>
      </c>
      <c r="G26" s="24" t="s">
        <v>78</v>
      </c>
      <c r="H26" s="24"/>
      <c r="I26" s="24"/>
      <c r="J26" s="24"/>
      <c r="K26" s="26" t="n">
        <f aca="false">b_Leh</f>
        <v>5</v>
      </c>
      <c r="L26" s="11" t="s">
        <v>60</v>
      </c>
      <c r="N26" s="15" t="s">
        <v>79</v>
      </c>
      <c r="O26" s="16" t="s">
        <v>80</v>
      </c>
      <c r="P26" s="27" t="str">
        <f aca="false">IF(t_se=0,"—",x_Mu/100000)</f>
        <v>—</v>
      </c>
      <c r="Q26" s="27" t="str">
        <f aca="false">IF(t_se=0,"—",x_Mb/100000)</f>
        <v>—</v>
      </c>
      <c r="R26" s="18" t="str">
        <f aca="false">IF(t_se=0,"N/A",(x_Mu/100000)/MAX(x_Mb/100000,0.000000001))</f>
        <v>N/A</v>
      </c>
      <c r="S26" s="19" t="s">
        <v>76</v>
      </c>
      <c r="T26" s="20" t="str">
        <f aca="false">IF(ISNUMBER(R26),IF(R26&gt;1,"NO CUMPLE",IF(R26&gt;lim_verde,"AL LÍMITE","CUMPLE")),"N/A")</f>
        <v>N/A</v>
      </c>
    </row>
    <row r="27" customFormat="false" ht="15" hidden="false" customHeight="false" outlineLevel="0" collapsed="false">
      <c r="B27" s="2" t="s">
        <v>81</v>
      </c>
      <c r="C27" s="2"/>
      <c r="D27" s="2"/>
      <c r="E27" s="2"/>
      <c r="G27" s="24" t="s">
        <v>82</v>
      </c>
      <c r="H27" s="24"/>
      <c r="I27" s="24"/>
      <c r="J27" s="24"/>
      <c r="K27" s="26" t="n">
        <f aca="false">IF(c_top&gt;0,b_Lev,"—")</f>
        <v>4</v>
      </c>
      <c r="L27" s="11" t="s">
        <v>60</v>
      </c>
      <c r="N27" s="14" t="s">
        <v>83</v>
      </c>
      <c r="O27" s="14"/>
      <c r="P27" s="14"/>
      <c r="Q27" s="14"/>
      <c r="R27" s="14"/>
      <c r="S27" s="14"/>
      <c r="T27" s="14"/>
    </row>
    <row r="28" customFormat="false" ht="15" hidden="false" customHeight="false" outlineLevel="0" collapsed="false">
      <c r="B28" s="7" t="s">
        <v>35</v>
      </c>
      <c r="C28" s="13" t="s">
        <v>84</v>
      </c>
      <c r="D28" s="13"/>
      <c r="E28" s="3" t="s">
        <v>37</v>
      </c>
      <c r="G28" s="24" t="s">
        <v>85</v>
      </c>
      <c r="H28" s="24"/>
      <c r="I28" s="24"/>
      <c r="J28" s="24"/>
      <c r="K28" s="26" t="n">
        <f aca="false">b_ho</f>
        <v>27</v>
      </c>
      <c r="L28" s="11" t="s">
        <v>60</v>
      </c>
      <c r="N28" s="15" t="s">
        <v>86</v>
      </c>
      <c r="O28" s="16" t="s">
        <v>87</v>
      </c>
      <c r="P28" s="17" t="n">
        <f aca="false">IF(t_pl=0,"—",k_R/1000)</f>
        <v>6</v>
      </c>
      <c r="Q28" s="17" t="n">
        <f aca="false">IF(t_pl=0,"—",w_R/1000)</f>
        <v>41.3238672</v>
      </c>
      <c r="R28" s="18" t="n">
        <f aca="false">IF(t_pl=0,"N/A",(k_R/1000)/MAX(w_R/1000,0.000000001))</f>
        <v>0.145194542683072</v>
      </c>
      <c r="S28" s="19" t="s">
        <v>27</v>
      </c>
      <c r="T28" s="20" t="str">
        <f aca="false">IF(ISNUMBER(R28),IF(R28&gt;1,"NO CUMPLE",IF(R28&gt;lim_verde,"AL LÍMITE","CUMPLE")),"N/A")</f>
        <v>CUMPLE</v>
      </c>
    </row>
    <row r="29" customFormat="false" ht="15" hidden="false" customHeight="false" outlineLevel="0" collapsed="false">
      <c r="B29" s="7" t="s">
        <v>39</v>
      </c>
      <c r="C29" s="21" t="n">
        <f aca="false">IF(vp_perfil="ARMADO (flejes soldados)",E29,INDEX(CATALOGOS!$B$5:$B$40,MATCH(vp_perfil,CATALOGOS!$A$5:$A$40,0)))</f>
        <v>400</v>
      </c>
      <c r="D29" s="11" t="s">
        <v>40</v>
      </c>
      <c r="E29" s="13" t="n">
        <v>400</v>
      </c>
      <c r="G29" s="24" t="s">
        <v>88</v>
      </c>
      <c r="H29" s="24"/>
      <c r="I29" s="24"/>
      <c r="J29" s="24"/>
      <c r="K29" s="26" t="n">
        <f aca="false">IF(c_c&gt;0,v_S,"—")</f>
        <v>81.3661785870722</v>
      </c>
      <c r="L29" s="11" t="s">
        <v>89</v>
      </c>
      <c r="N29" s="15" t="s">
        <v>90</v>
      </c>
      <c r="O29" s="16" t="s">
        <v>75</v>
      </c>
      <c r="P29" s="28" t="n">
        <f aca="false">IF(t_pl=0,"—",0.625*pl_tp)</f>
        <v>5</v>
      </c>
      <c r="Q29" s="28" t="n">
        <f aca="false">IF(t_pl=0,"—",pl_w)</f>
        <v>6</v>
      </c>
      <c r="R29" s="18" t="n">
        <f aca="false">IF(t_pl=0,"N/A",(0.625*pl_tp)/MAX(pl_w,0.000000001))</f>
        <v>0.833333333333333</v>
      </c>
      <c r="S29" s="19" t="s">
        <v>40</v>
      </c>
      <c r="T29" s="20" t="str">
        <f aca="false">IF(ISNUMBER(R29),IF(R29&gt;1,"NO CUMPLE",IF(R29&gt;lim_verde,"AL LÍMITE","CUMPLE")),"N/A")</f>
        <v>CUMPLE</v>
      </c>
    </row>
    <row r="30" customFormat="false" ht="15" hidden="false" customHeight="false" outlineLevel="0" collapsed="false">
      <c r="B30" s="7" t="s">
        <v>43</v>
      </c>
      <c r="C30" s="21" t="n">
        <f aca="false">IF(vp_perfil="ARMADO (flejes soldados)",E30,INDEX(CATALOGOS!$C$5:$C$40,MATCH(vp_perfil,CATALOGOS!$A$5:$A$40,0)))</f>
        <v>180</v>
      </c>
      <c r="D30" s="11" t="s">
        <v>40</v>
      </c>
      <c r="E30" s="13" t="n">
        <v>180</v>
      </c>
      <c r="G30" s="24" t="s">
        <v>91</v>
      </c>
      <c r="H30" s="24"/>
      <c r="I30" s="24"/>
      <c r="J30" s="24"/>
      <c r="K30" s="29" t="n">
        <f aca="false">IF(c_c&gt;0,v_Fcr,"—")</f>
        <v>3271.01129491256</v>
      </c>
      <c r="L30" s="11" t="s">
        <v>54</v>
      </c>
      <c r="N30" s="15" t="s">
        <v>92</v>
      </c>
      <c r="O30" s="16" t="s">
        <v>93</v>
      </c>
      <c r="P30" s="28" t="n">
        <f aca="false">IF(t_pl=0,"—",w_tmin*10)</f>
        <v>4.56687964989059</v>
      </c>
      <c r="Q30" s="28" t="n">
        <f aca="false">IF(t_pl=0,"—",vp_tw_mm)</f>
        <v>6</v>
      </c>
      <c r="R30" s="18" t="n">
        <f aca="false">IF(t_pl=0,"N/A",(w_tmin*10)/MAX(vp_tw_mm,0.000000001))</f>
        <v>0.761146608315099</v>
      </c>
      <c r="S30" s="19" t="s">
        <v>40</v>
      </c>
      <c r="T30" s="20" t="str">
        <f aca="false">IF(ISNUMBER(R30),IF(R30&gt;1,"NO CUMPLE",IF(R30&gt;lim_verde,"AL LÍMITE","CUMPLE")),"N/A")</f>
        <v>CUMPLE</v>
      </c>
    </row>
    <row r="31" customFormat="false" ht="15" hidden="false" customHeight="false" outlineLevel="0" collapsed="false">
      <c r="B31" s="7" t="s">
        <v>45</v>
      </c>
      <c r="C31" s="21" t="n">
        <f aca="false">IF(vp_perfil="ARMADO (flejes soldados)",E31,INDEX(CATALOGOS!$D$5:$D$40,MATCH(vp_perfil,CATALOGOS!$A$5:$A$40,0)))</f>
        <v>6</v>
      </c>
      <c r="D31" s="11" t="s">
        <v>40</v>
      </c>
      <c r="E31" s="13" t="n">
        <v>6</v>
      </c>
      <c r="G31" s="24" t="s">
        <v>94</v>
      </c>
      <c r="H31" s="24"/>
      <c r="I31" s="24"/>
      <c r="J31" s="24"/>
      <c r="K31" s="30" t="n">
        <f aca="false">IF(c_c&gt;0,v_Mu/100000,"—")</f>
        <v>0.63</v>
      </c>
      <c r="L31" s="11" t="s">
        <v>76</v>
      </c>
      <c r="N31" s="14" t="s">
        <v>95</v>
      </c>
      <c r="O31" s="14"/>
      <c r="P31" s="14"/>
      <c r="Q31" s="14"/>
      <c r="R31" s="14"/>
      <c r="S31" s="14"/>
      <c r="T31" s="14"/>
    </row>
    <row r="32" customFormat="false" ht="15" hidden="false" customHeight="false" outlineLevel="0" collapsed="false">
      <c r="B32" s="7" t="s">
        <v>47</v>
      </c>
      <c r="C32" s="21" t="n">
        <f aca="false">IF(vp_perfil="ARMADO (flejes soldados)",E32,INDEX(CATALOGOS!$E$5:$E$40,MATCH(vp_perfil,CATALOGOS!$A$5:$A$40,0)))</f>
        <v>12</v>
      </c>
      <c r="D32" s="11" t="s">
        <v>40</v>
      </c>
      <c r="E32" s="13" t="n">
        <v>12</v>
      </c>
      <c r="G32" s="24" t="s">
        <v>96</v>
      </c>
      <c r="H32" s="24"/>
      <c r="I32" s="24"/>
      <c r="J32" s="24"/>
      <c r="K32" s="26" t="str">
        <f aca="false">IF(t_se=1,x_tmax*10,"—")</f>
        <v>—</v>
      </c>
      <c r="L32" s="11" t="s">
        <v>40</v>
      </c>
      <c r="N32" s="15" t="s">
        <v>97</v>
      </c>
      <c r="O32" s="16" t="s">
        <v>57</v>
      </c>
      <c r="P32" s="17" t="n">
        <f aca="false">k_R/1000</f>
        <v>6</v>
      </c>
      <c r="Q32" s="17" t="n">
        <f aca="false">v_vy/1000</f>
        <v>22.7772</v>
      </c>
      <c r="R32" s="18" t="n">
        <f aca="false">(k_R/1000)/MAX(v_vy/1000,0.000000001)</f>
        <v>0.263421316052895</v>
      </c>
      <c r="S32" s="19" t="s">
        <v>27</v>
      </c>
      <c r="T32" s="20" t="str">
        <f aca="false">IF(ISNUMBER(R32),IF(R32&gt;1,"NO CUMPLE",IF(R32&gt;lim_verde,"AL LÍMITE","CUMPLE")),"N/A")</f>
        <v>CUMPLE</v>
      </c>
    </row>
    <row r="33" customFormat="false" ht="15" hidden="false" customHeight="false" outlineLevel="0" collapsed="false">
      <c r="B33" s="7" t="s">
        <v>50</v>
      </c>
      <c r="C33" s="13" t="s">
        <v>51</v>
      </c>
      <c r="D33" s="13"/>
      <c r="G33" s="24" t="s">
        <v>98</v>
      </c>
      <c r="H33" s="24"/>
      <c r="I33" s="24"/>
      <c r="J33" s="24"/>
      <c r="K33" s="26" t="n">
        <f aca="false">IF(t_pl=1,w_tmin*10,"—")</f>
        <v>4.56687964989059</v>
      </c>
      <c r="L33" s="11" t="s">
        <v>40</v>
      </c>
      <c r="N33" s="15" t="s">
        <v>99</v>
      </c>
      <c r="O33" s="16" t="s">
        <v>62</v>
      </c>
      <c r="P33" s="17" t="n">
        <f aca="false">k_R/1000</f>
        <v>6</v>
      </c>
      <c r="Q33" s="17" t="n">
        <f aca="false">v_vr/1000</f>
        <v>16.7255145</v>
      </c>
      <c r="R33" s="18" t="n">
        <f aca="false">(k_R/1000)/MAX(v_vr/1000,0.000000001)</f>
        <v>0.358733359144198</v>
      </c>
      <c r="S33" s="19" t="s">
        <v>27</v>
      </c>
      <c r="T33" s="20" t="str">
        <f aca="false">IF(ISNUMBER(R33),IF(R33&gt;1,"NO CUMPLE",IF(R33&gt;lim_verde,"AL LÍMITE","CUMPLE")),"N/A")</f>
        <v>CUMPLE</v>
      </c>
    </row>
    <row r="34" customFormat="false" ht="15" hidden="false" customHeight="false" outlineLevel="0" collapsed="false">
      <c r="B34" s="7" t="s">
        <v>53</v>
      </c>
      <c r="C34" s="22" t="n">
        <f aca="false">INDEX(CATALOGOS!$H$5:$H$10,MATCH(vp_acero,CATALOGOS!$G$5:$G$10,0))</f>
        <v>3515</v>
      </c>
      <c r="D34" s="11" t="s">
        <v>54</v>
      </c>
      <c r="E34" s="23" t="n">
        <f aca="false">INDEX(CATALOGOS!$I$5:$I$10,MATCH(vp_acero,CATALOGOS!$G$5:$G$10,0))</f>
        <v>4570</v>
      </c>
      <c r="N34" s="15" t="s">
        <v>100</v>
      </c>
      <c r="O34" s="16" t="s">
        <v>49</v>
      </c>
      <c r="P34" s="17" t="n">
        <f aca="false">IF(c_c=0,"—",k_R/1000)</f>
        <v>6</v>
      </c>
      <c r="Q34" s="17" t="n">
        <f aca="false">IF(c_c=0,"—",v_bs/1000)</f>
        <v>16.390305</v>
      </c>
      <c r="R34" s="18" t="n">
        <f aca="false">IF(c_c=0,"N/A",(k_R/1000)/MAX(v_bs/1000,0.000000001))</f>
        <v>0.366070063979895</v>
      </c>
      <c r="S34" s="19" t="s">
        <v>27</v>
      </c>
      <c r="T34" s="20" t="str">
        <f aca="false">IF(ISNUMBER(R34),IF(R34&gt;1,"NO CUMPLE",IF(R34&gt;lim_verde,"AL LÍMITE","CUMPLE")),"N/A")</f>
        <v>CUMPLE</v>
      </c>
    </row>
    <row r="35" customFormat="false" ht="15" hidden="false" customHeight="false" outlineLevel="0" collapsed="false">
      <c r="B35" s="2" t="s">
        <v>101</v>
      </c>
      <c r="C35" s="2"/>
      <c r="D35" s="2"/>
      <c r="E35" s="2"/>
      <c r="G35" s="2" t="s">
        <v>102</v>
      </c>
      <c r="H35" s="2"/>
      <c r="I35" s="2"/>
      <c r="J35" s="2"/>
      <c r="K35" s="2"/>
      <c r="L35" s="2"/>
      <c r="N35" s="15" t="s">
        <v>103</v>
      </c>
      <c r="O35" s="16" t="s">
        <v>104</v>
      </c>
      <c r="P35" s="27" t="n">
        <f aca="false">IF(c_c=0,"—",v_Mu/100000)</f>
        <v>0.63</v>
      </c>
      <c r="Q35" s="27" t="n">
        <f aca="false">IF(c_c=0,"—",v_Mn/100000)</f>
        <v>2.39534720263967</v>
      </c>
      <c r="R35" s="18" t="n">
        <f aca="false">IF(c_c=0,"N/A",(v_Mu/100000)/MAX(v_Mn/100000,0.000000001))</f>
        <v>0.26300988821401</v>
      </c>
      <c r="S35" s="19" t="s">
        <v>76</v>
      </c>
      <c r="T35" s="20" t="str">
        <f aca="false">IF(ISNUMBER(R35),IF(R35&gt;1,"NO CUMPLE",IF(R35&gt;lim_verde,"AL LÍMITE","CUMPLE")),"N/A")</f>
        <v>CUMPLE</v>
      </c>
    </row>
    <row r="36" customFormat="false" ht="15" hidden="false" customHeight="false" outlineLevel="0" collapsed="false">
      <c r="B36" s="7" t="s">
        <v>105</v>
      </c>
      <c r="C36" s="13" t="s">
        <v>106</v>
      </c>
      <c r="D36" s="13"/>
      <c r="G36" s="31" t="s">
        <v>107</v>
      </c>
      <c r="H36" s="31"/>
      <c r="I36" s="31"/>
      <c r="J36" s="31"/>
      <c r="K36" s="31"/>
      <c r="L36" s="31"/>
      <c r="N36" s="14" t="s">
        <v>108</v>
      </c>
      <c r="O36" s="14"/>
      <c r="P36" s="14"/>
      <c r="Q36" s="14"/>
      <c r="R36" s="14"/>
      <c r="S36" s="14"/>
      <c r="T36" s="14"/>
    </row>
    <row r="37" customFormat="false" ht="15" hidden="false" customHeight="false" outlineLevel="0" collapsed="false">
      <c r="B37" s="7" t="s">
        <v>109</v>
      </c>
      <c r="C37" s="13" t="s">
        <v>110</v>
      </c>
      <c r="D37" s="13"/>
      <c r="G37" s="31" t="s">
        <v>111</v>
      </c>
      <c r="H37" s="31"/>
      <c r="I37" s="31"/>
      <c r="J37" s="31"/>
      <c r="K37" s="31"/>
      <c r="L37" s="31"/>
      <c r="N37" s="15" t="s">
        <v>112</v>
      </c>
      <c r="O37" s="16" t="s">
        <v>113</v>
      </c>
      <c r="P37" s="28" t="n">
        <f aca="false">IF(t_sp=0,"—",pl_a)</f>
        <v>65</v>
      </c>
      <c r="Q37" s="28" t="n">
        <f aca="false">IF(t_sp=0,"—",88.9)</f>
        <v>88.9</v>
      </c>
      <c r="R37" s="18" t="n">
        <f aca="false">IF(t_sp=0,"N/A",pl_a/88.9)</f>
        <v>0.731158605174353</v>
      </c>
      <c r="S37" s="19" t="s">
        <v>40</v>
      </c>
      <c r="T37" s="20" t="str">
        <f aca="false">IF(ISNUMBER(R37),IF(R37&gt;1,"NO CUMPLE",IF(R37&gt;lim_verde,"AL LÍMITE","CUMPLE")),"N/A")</f>
        <v>CUMPLE</v>
      </c>
    </row>
    <row r="38" customFormat="false" ht="15" hidden="false" customHeight="false" outlineLevel="0" collapsed="false">
      <c r="B38" s="7" t="s">
        <v>114</v>
      </c>
      <c r="C38" s="13" t="n">
        <v>3</v>
      </c>
      <c r="D38" s="11"/>
      <c r="G38" s="31" t="s">
        <v>115</v>
      </c>
      <c r="H38" s="31"/>
      <c r="I38" s="31"/>
      <c r="J38" s="31"/>
      <c r="K38" s="31"/>
      <c r="L38" s="31"/>
      <c r="N38" s="15" t="s">
        <v>116</v>
      </c>
      <c r="O38" s="16" t="s">
        <v>75</v>
      </c>
      <c r="P38" s="32" t="n">
        <f aca="false">IF(t_pl=0,"—",n_b)</f>
        <v>3</v>
      </c>
      <c r="Q38" s="32" t="n">
        <f aca="false">IF(t_pl=0,"—",12)</f>
        <v>12</v>
      </c>
      <c r="R38" s="18" t="n">
        <f aca="false">IF(t_pl=0,"N/A",MAX(n_b/12,2/n_b))</f>
        <v>0.666666666666667</v>
      </c>
      <c r="S38" s="19" t="s">
        <v>117</v>
      </c>
      <c r="T38" s="20" t="str">
        <f aca="false">IF(ISNUMBER(R38),IF(R38&gt;1,"NO CUMPLE",IF(R38&gt;lim_verde,"AL LÍMITE","CUMPLE")),"N/A")</f>
        <v>CUMPLE</v>
      </c>
    </row>
    <row r="39" customFormat="false" ht="15" hidden="false" customHeight="false" outlineLevel="0" collapsed="false">
      <c r="B39" s="7" t="s">
        <v>118</v>
      </c>
      <c r="C39" s="13" t="n">
        <v>75</v>
      </c>
      <c r="D39" s="11" t="s">
        <v>40</v>
      </c>
      <c r="G39" s="31" t="s">
        <v>119</v>
      </c>
      <c r="H39" s="31"/>
      <c r="I39" s="31"/>
      <c r="J39" s="31"/>
      <c r="K39" s="31"/>
      <c r="L39" s="31"/>
      <c r="N39" s="15" t="s">
        <v>120</v>
      </c>
      <c r="O39" s="16" t="s">
        <v>113</v>
      </c>
      <c r="P39" s="28" t="n">
        <f aca="false">IF(t_sp=0,"—",MIN(pl_tp,vg_tw_mm))</f>
        <v>4</v>
      </c>
      <c r="Q39" s="28" t="n">
        <f aca="false">IF(t_sp=0,"—",(a_dbi/2+IF(OR(agujero&lt;&gt;"STD",n_b&lt;=5),1/16,-1/16))*25.4)</f>
        <v>11.1125</v>
      </c>
      <c r="R39" s="18" t="n">
        <f aca="false">IF(t_sp=0,"N/A",(MIN(pl_tp,vg_tw_mm))/MAX((a_dbi/2+IF(OR(agujero&lt;&gt;"STD",n_b&lt;=5),1/16,-1/16))*25.4,0.000000001))</f>
        <v>0.359955005624297</v>
      </c>
      <c r="S39" s="19" t="s">
        <v>40</v>
      </c>
      <c r="T39" s="20" t="str">
        <f aca="false">IF(ISNUMBER(R39),IF(R39&gt;1,"NO CUMPLE",IF(R39&gt;lim_verde,"AL LÍMITE","CUMPLE")),"N/A")</f>
        <v>CUMPLE</v>
      </c>
    </row>
    <row r="40" customFormat="false" ht="15" hidden="false" customHeight="false" outlineLevel="0" collapsed="false">
      <c r="B40" s="7" t="s">
        <v>121</v>
      </c>
      <c r="C40" s="13" t="n">
        <v>70</v>
      </c>
      <c r="D40" s="11" t="s">
        <v>40</v>
      </c>
      <c r="G40" s="31" t="s">
        <v>122</v>
      </c>
      <c r="H40" s="31"/>
      <c r="I40" s="31"/>
      <c r="J40" s="31"/>
      <c r="K40" s="31"/>
      <c r="L40" s="31"/>
      <c r="N40" s="15" t="s">
        <v>123</v>
      </c>
      <c r="O40" s="16" t="s">
        <v>124</v>
      </c>
      <c r="P40" s="28" t="str">
        <f aca="false">IF(t_se=0,"—",pl_tp)</f>
        <v>—</v>
      </c>
      <c r="Q40" s="28" t="str">
        <f aca="false">IF(t_se=0,"—",x_tmax*10)</f>
        <v>—</v>
      </c>
      <c r="R40" s="18" t="str">
        <f aca="false">IF(t_se=0,"N/A",(pl_tp)/MAX(x_tmax*10,0.000000001))</f>
        <v>N/A</v>
      </c>
      <c r="S40" s="19" t="s">
        <v>40</v>
      </c>
      <c r="T40" s="20" t="str">
        <f aca="false">IF(ISNUMBER(R40),IF(R40&gt;1,"NO CUMPLE",IF(R40&gt;lim_verde,"AL LÍMITE","CUMPLE")),"N/A")</f>
        <v>N/A</v>
      </c>
    </row>
    <row r="41" customFormat="false" ht="15" hidden="false" customHeight="false" outlineLevel="0" collapsed="false">
      <c r="B41" s="7" t="s">
        <v>125</v>
      </c>
      <c r="C41" s="13" t="n">
        <v>35</v>
      </c>
      <c r="D41" s="11" t="s">
        <v>40</v>
      </c>
      <c r="G41" s="31" t="s">
        <v>126</v>
      </c>
      <c r="H41" s="31"/>
      <c r="I41" s="31"/>
      <c r="J41" s="31"/>
      <c r="K41" s="31"/>
      <c r="L41" s="31"/>
      <c r="N41" s="15" t="s">
        <v>127</v>
      </c>
      <c r="O41" s="16" t="s">
        <v>75</v>
      </c>
      <c r="P41" s="17" t="n">
        <f aca="false">IF(t_pl=0,"—",2*a_db)</f>
        <v>3.81</v>
      </c>
      <c r="Q41" s="17" t="n">
        <f aca="false">IF(t_pl=0,"—",e_Leh)</f>
        <v>4.5</v>
      </c>
      <c r="R41" s="18" t="n">
        <f aca="false">IF(t_pl=0,"N/A",(2*a_db)/MAX(e_Leh,0.000000001))</f>
        <v>0.846666666666667</v>
      </c>
      <c r="S41" s="19" t="s">
        <v>60</v>
      </c>
      <c r="T41" s="20" t="str">
        <f aca="false">IF(ISNUMBER(R41),IF(R41&gt;1,"NO CUMPLE",IF(R41&gt;lim_verde,"AL LÍMITE","CUMPLE")),"N/A")</f>
        <v>CUMPLE</v>
      </c>
    </row>
    <row r="42" customFormat="false" ht="15" hidden="false" customHeight="false" outlineLevel="0" collapsed="false">
      <c r="B42" s="7" t="s">
        <v>128</v>
      </c>
      <c r="C42" s="13" t="s">
        <v>129</v>
      </c>
      <c r="D42" s="13"/>
      <c r="G42" s="31" t="s">
        <v>130</v>
      </c>
      <c r="H42" s="31"/>
      <c r="I42" s="31"/>
      <c r="J42" s="31"/>
      <c r="K42" s="31"/>
      <c r="L42" s="31"/>
      <c r="N42" s="15" t="s">
        <v>131</v>
      </c>
      <c r="O42" s="16" t="s">
        <v>75</v>
      </c>
      <c r="P42" s="17" t="n">
        <f aca="false">IF(t_pl=0,"—",2*a_db)</f>
        <v>3.81</v>
      </c>
      <c r="Q42" s="17" t="n">
        <f aca="false">IF(t_pl=0,"—",b_Leh)</f>
        <v>5</v>
      </c>
      <c r="R42" s="18" t="n">
        <f aca="false">IF(t_pl=0,"N/A",(2*a_db)/MAX(b_Leh,0.000000001))</f>
        <v>0.762</v>
      </c>
      <c r="S42" s="19" t="s">
        <v>60</v>
      </c>
      <c r="T42" s="20" t="str">
        <f aca="false">IF(ISNUMBER(R42),IF(R42&gt;1,"NO CUMPLE",IF(R42&gt;lim_verde,"AL LÍMITE","CUMPLE")),"N/A")</f>
        <v>CUMPLE</v>
      </c>
    </row>
    <row r="43" customFormat="false" ht="15" hidden="false" customHeight="false" outlineLevel="0" collapsed="false">
      <c r="B43" s="2" t="s">
        <v>132</v>
      </c>
      <c r="C43" s="2"/>
      <c r="D43" s="2"/>
      <c r="E43" s="2"/>
      <c r="N43" s="15" t="s">
        <v>133</v>
      </c>
      <c r="O43" s="16" t="s">
        <v>134</v>
      </c>
      <c r="P43" s="17" t="str">
        <f aca="false">IF(t_pl=1,"—",a_emin)</f>
        <v>—</v>
      </c>
      <c r="Q43" s="17" t="str">
        <f aca="false">IF(t_pl=1,"—",b_Leh)</f>
        <v>—</v>
      </c>
      <c r="R43" s="18" t="str">
        <f aca="false">IF(t_pl=1,"N/A",(a_emin)/MAX(b_Leh,0.000000001))</f>
        <v>N/A</v>
      </c>
      <c r="S43" s="19" t="s">
        <v>60</v>
      </c>
      <c r="T43" s="20" t="str">
        <f aca="false">IF(ISNUMBER(R43),IF(R43&gt;1,"NO CUMPLE",IF(R43&gt;lim_verde,"AL LÍMITE","CUMPLE")),"N/A")</f>
        <v>N/A</v>
      </c>
    </row>
    <row r="44" customFormat="false" ht="15" hidden="false" customHeight="false" outlineLevel="0" collapsed="false">
      <c r="B44" s="7" t="s">
        <v>50</v>
      </c>
      <c r="C44" s="13" t="s">
        <v>135</v>
      </c>
      <c r="D44" s="13"/>
      <c r="N44" s="15" t="s">
        <v>136</v>
      </c>
      <c r="O44" s="16" t="s">
        <v>134</v>
      </c>
      <c r="P44" s="17" t="str">
        <f aca="false">IF(t_da=0,"—",a_emin)</f>
        <v>—</v>
      </c>
      <c r="Q44" s="17" t="str">
        <f aca="false">IF(t_da=0,"—",MIN(e_Leh,(an_ls-an_gs)/10))</f>
        <v>—</v>
      </c>
      <c r="R44" s="18" t="str">
        <f aca="false">IF(t_da=0,"N/A",(a_emin)/MAX(MIN(e_Leh,(an_ls-an_gs)/10),0.000000001))</f>
        <v>N/A</v>
      </c>
      <c r="S44" s="19" t="s">
        <v>60</v>
      </c>
      <c r="T44" s="20" t="str">
        <f aca="false">IF(ISNUMBER(R44),IF(R44&gt;1,"NO CUMPLE",IF(R44&gt;lim_verde,"AL LÍMITE","CUMPLE")),"N/A")</f>
        <v>N/A</v>
      </c>
    </row>
    <row r="45" customFormat="false" ht="15" hidden="false" customHeight="false" outlineLevel="0" collapsed="false">
      <c r="B45" s="7" t="s">
        <v>53</v>
      </c>
      <c r="C45" s="22" t="n">
        <f aca="false">INDEX(CATALOGOS!$H$5:$H$10,MATCH(pl_acero,CATALOGOS!$G$5:$G$10,0))</f>
        <v>2530</v>
      </c>
      <c r="D45" s="11" t="s">
        <v>54</v>
      </c>
      <c r="E45" s="23" t="n">
        <f aca="false">INDEX(CATALOGOS!$I$5:$I$10,MATCH(pl_acero,CATALOGOS!$G$5:$G$10,0))</f>
        <v>4080</v>
      </c>
      <c r="N45" s="15" t="s">
        <v>137</v>
      </c>
      <c r="O45" s="16" t="s">
        <v>134</v>
      </c>
      <c r="P45" s="17" t="n">
        <f aca="false">a_emin</f>
        <v>2.54</v>
      </c>
      <c r="Q45" s="17" t="n">
        <f aca="false">e_Lev</f>
        <v>3.5</v>
      </c>
      <c r="R45" s="18" t="n">
        <f aca="false">(a_emin)/MAX(e_Lev,0.000000001)</f>
        <v>0.725714285714286</v>
      </c>
      <c r="S45" s="19" t="s">
        <v>60</v>
      </c>
      <c r="T45" s="20" t="str">
        <f aca="false">IF(ISNUMBER(R45),IF(R45&gt;1,"NO CUMPLE",IF(R45&gt;lim_verde,"AL LÍMITE","CUMPLE")),"N/A")</f>
        <v>CUMPLE</v>
      </c>
    </row>
    <row r="46" customFormat="false" ht="15" hidden="false" customHeight="false" outlineLevel="0" collapsed="false">
      <c r="B46" s="7" t="s">
        <v>138</v>
      </c>
      <c r="C46" s="13" t="n">
        <v>8</v>
      </c>
      <c r="D46" s="11" t="s">
        <v>40</v>
      </c>
      <c r="N46" s="15" t="s">
        <v>139</v>
      </c>
      <c r="O46" s="16" t="s">
        <v>134</v>
      </c>
      <c r="P46" s="17" t="n">
        <f aca="false">IF(c_c=0,"—",a_emin)</f>
        <v>2.54</v>
      </c>
      <c r="Q46" s="17" t="n">
        <f aca="false">IF(c_c=0,"—",b_Lev)</f>
        <v>4</v>
      </c>
      <c r="R46" s="18" t="n">
        <f aca="false">IF(c_c=0,"N/A",(a_emin)/MAX(b_Lev,0.000000001))</f>
        <v>0.635</v>
      </c>
      <c r="S46" s="19" t="s">
        <v>60</v>
      </c>
      <c r="T46" s="20" t="str">
        <f aca="false">IF(ISNUMBER(R46),IF(R46&gt;1,"NO CUMPLE",IF(R46&gt;lim_verde,"AL LÍMITE","CUMPLE")),"N/A")</f>
        <v>CUMPLE</v>
      </c>
    </row>
    <row r="47" customFormat="false" ht="15" hidden="false" customHeight="false" outlineLevel="0" collapsed="false">
      <c r="B47" s="7" t="s">
        <v>140</v>
      </c>
      <c r="C47" s="13" t="n">
        <v>65</v>
      </c>
      <c r="D47" s="11" t="s">
        <v>40</v>
      </c>
      <c r="N47" s="15" t="s">
        <v>141</v>
      </c>
      <c r="O47" s="16" t="s">
        <v>142</v>
      </c>
      <c r="P47" s="17" t="n">
        <f aca="false">3*a_db</f>
        <v>5.715</v>
      </c>
      <c r="Q47" s="17" t="n">
        <f aca="false">a_s</f>
        <v>7.5</v>
      </c>
      <c r="R47" s="18" t="n">
        <f aca="false">(3*a_db)/MAX(a_s,0.000000001)</f>
        <v>0.762</v>
      </c>
      <c r="S47" s="19" t="s">
        <v>60</v>
      </c>
      <c r="T47" s="20" t="str">
        <f aca="false">IF(ISNUMBER(R47),IF(R47&gt;1,"NO CUMPLE",IF(R47&gt;lim_verde,"AL LÍMITE","CUMPLE")),"N/A")</f>
        <v>CUMPLE</v>
      </c>
    </row>
    <row r="48" customFormat="false" ht="15" hidden="false" customHeight="false" outlineLevel="0" collapsed="false">
      <c r="B48" s="7" t="s">
        <v>143</v>
      </c>
      <c r="C48" s="13" t="n">
        <v>45</v>
      </c>
      <c r="D48" s="11" t="s">
        <v>40</v>
      </c>
      <c r="N48" s="15" t="s">
        <v>144</v>
      </c>
      <c r="O48" s="16" t="s">
        <v>145</v>
      </c>
      <c r="P48" s="17" t="n">
        <f aca="false">IF(c_top&gt;0,c_top,b_k)</f>
        <v>3</v>
      </c>
      <c r="Q48" s="17" t="n">
        <f aca="false">e_top</f>
        <v>3.5</v>
      </c>
      <c r="R48" s="18" t="n">
        <f aca="false">MAX(IF(c_top&gt;0,c_top,b_k)/MAX(e_top,0.000000001),(e_top+e_L)/(b_d-IF(c_bot&gt;0,c_bot,b_k)))</f>
        <v>0.894736842105263</v>
      </c>
      <c r="S48" s="19" t="s">
        <v>60</v>
      </c>
      <c r="T48" s="20" t="str">
        <f aca="false">IF(ISNUMBER(R48),IF(R48&gt;1,"NO CUMPLE",IF(R48&gt;lim_verde,"AL LÍMITE","CUMPLE")),"N/A")</f>
        <v>CUMPLE</v>
      </c>
    </row>
    <row r="49" customFormat="false" ht="15" hidden="false" customHeight="false" outlineLevel="0" collapsed="false">
      <c r="B49" s="7" t="s">
        <v>146</v>
      </c>
      <c r="C49" s="13" t="s">
        <v>147</v>
      </c>
      <c r="D49" s="13"/>
      <c r="N49" s="15" t="s">
        <v>148</v>
      </c>
      <c r="O49" s="16" t="s">
        <v>75</v>
      </c>
      <c r="P49" s="17" t="str">
        <f aca="false">IF(t_da=0,"—",(b_d-2*b_k)/2)</f>
        <v>—</v>
      </c>
      <c r="Q49" s="17" t="str">
        <f aca="false">IF(t_da=0,"—",e_L)</f>
        <v>—</v>
      </c>
      <c r="R49" s="18" t="str">
        <f aca="false">IF(t_da=0,"N/A",((b_d-2*b_k)/2)/MAX(e_L,0.000000001))</f>
        <v>N/A</v>
      </c>
      <c r="S49" s="19" t="s">
        <v>60</v>
      </c>
      <c r="T49" s="20" t="str">
        <f aca="false">IF(ISNUMBER(R49),IF(R49&gt;1,"NO CUMPLE",IF(R49&gt;lim_verde,"AL LÍMITE","CUMPLE")),"N/A")</f>
        <v>N/A</v>
      </c>
    </row>
    <row r="50" customFormat="false" ht="15" hidden="false" customHeight="false" outlineLevel="0" collapsed="false">
      <c r="B50" s="7" t="s">
        <v>149</v>
      </c>
      <c r="C50" s="13" t="n">
        <v>6</v>
      </c>
      <c r="D50" s="11" t="s">
        <v>40</v>
      </c>
      <c r="N50" s="15" t="s">
        <v>150</v>
      </c>
      <c r="O50" s="16" t="s">
        <v>104</v>
      </c>
      <c r="P50" s="17" t="n">
        <f aca="false">IF(c_c=0,"—",c_c)</f>
        <v>9</v>
      </c>
      <c r="Q50" s="17" t="n">
        <f aca="false">IF(c_c=0,"—",2*b_d)</f>
        <v>60</v>
      </c>
      <c r="R50" s="18" t="n">
        <f aca="false">IF(c_c=0,"N/A",(c_c)/MAX(2*b_d,0.000000001))</f>
        <v>0.15</v>
      </c>
      <c r="S50" s="19" t="s">
        <v>60</v>
      </c>
      <c r="T50" s="20" t="str">
        <f aca="false">IF(ISNUMBER(R50),IF(R50&gt;1,"NO CUMPLE",IF(R50&gt;lim_verde,"AL LÍMITE","CUMPLE")),"N/A")</f>
        <v>CUMPLE</v>
      </c>
    </row>
    <row r="51" customFormat="false" ht="15" hidden="false" customHeight="false" outlineLevel="0" collapsed="false">
      <c r="B51" s="2" t="s">
        <v>151</v>
      </c>
      <c r="C51" s="2"/>
      <c r="D51" s="2"/>
      <c r="E51" s="2"/>
      <c r="N51" s="15" t="s">
        <v>152</v>
      </c>
      <c r="O51" s="16" t="s">
        <v>104</v>
      </c>
      <c r="P51" s="17" t="n">
        <f aca="false">IF(c_c=0,"—",c_top)</f>
        <v>3</v>
      </c>
      <c r="Q51" s="17" t="n">
        <f aca="false">IF(c_c=0,"—",IF(destaje="Destaje doble (sup. = inf.)",0.2,0.5)*b_d)</f>
        <v>15</v>
      </c>
      <c r="R51" s="18" t="n">
        <f aca="false">IF(c_c=0,"N/A",(c_top)/MAX(IF(destaje="Destaje doble (sup. = inf.)",0.2,0.5)*b_d,0.000000001))</f>
        <v>0.2</v>
      </c>
      <c r="S51" s="19" t="s">
        <v>60</v>
      </c>
      <c r="T51" s="20" t="str">
        <f aca="false">IF(ISNUMBER(R51),IF(R51&gt;1,"NO CUMPLE",IF(R51&gt;lim_verde,"AL LÍMITE","CUMPLE")),"N/A")</f>
        <v>CUMPLE</v>
      </c>
    </row>
    <row r="52" customFormat="false" ht="15" hidden="false" customHeight="false" outlineLevel="0" collapsed="false">
      <c r="B52" s="7" t="s">
        <v>50</v>
      </c>
      <c r="C52" s="13" t="s">
        <v>135</v>
      </c>
      <c r="D52" s="13"/>
      <c r="N52" s="15" t="s">
        <v>153</v>
      </c>
      <c r="O52" s="16" t="s">
        <v>154</v>
      </c>
      <c r="P52" s="17" t="str">
        <f aca="false">IF(t_da=0,"—",a_db*1.5)</f>
        <v>—</v>
      </c>
      <c r="Q52" s="17" t="str">
        <f aca="false">IF(t_da=0,"—",an_gs/10-b_tw/2)</f>
        <v>—</v>
      </c>
      <c r="R52" s="18" t="str">
        <f aca="false">IF(t_da=0,"N/A",(a_db*1.5)/MAX(an_gs/10,0.000000001))</f>
        <v>N/A</v>
      </c>
      <c r="S52" s="19" t="s">
        <v>60</v>
      </c>
      <c r="T52" s="20" t="str">
        <f aca="false">IF(ISNUMBER(R52),IF(R52&gt;1,"NO CUMPLE",IF(R52&gt;lim_verde,"AL LÍMITE","CUMPLE")),"N/A")</f>
        <v>N/A</v>
      </c>
    </row>
    <row r="53" customFormat="false" ht="15" hidden="false" customHeight="false" outlineLevel="0" collapsed="false">
      <c r="B53" s="7" t="s">
        <v>53</v>
      </c>
      <c r="C53" s="22" t="n">
        <f aca="false">INDEX(CATALOGOS!$H$5:$H$10,MATCH(an_acero,CATALOGOS!$G$5:$G$10,0))</f>
        <v>2530</v>
      </c>
      <c r="D53" s="11" t="s">
        <v>54</v>
      </c>
      <c r="E53" s="23" t="n">
        <f aca="false">INDEX(CATALOGOS!$I$5:$I$10,MATCH(an_acero,CATALOGOS!$G$5:$G$10,0))</f>
        <v>4080</v>
      </c>
      <c r="N53" s="15" t="s">
        <v>155</v>
      </c>
      <c r="O53" s="16" t="s">
        <v>145</v>
      </c>
      <c r="P53" s="32" t="n">
        <f aca="false">0</f>
        <v>0</v>
      </c>
      <c r="Q53" s="32" t="n">
        <f aca="false">setback</f>
        <v>15</v>
      </c>
      <c r="R53" s="18" t="n">
        <f aca="false">IF(setback&gt;=0,0,1.5)</f>
        <v>0</v>
      </c>
      <c r="S53" s="19" t="s">
        <v>40</v>
      </c>
      <c r="T53" s="20" t="str">
        <f aca="false">IF(ISNUMBER(R53),IF(R53&gt;1,"NO CUMPLE",IF(R53&gt;lim_verde,"AL LÍMITE","CUMPLE")),"N/A")</f>
        <v>CUMPLE</v>
      </c>
    </row>
    <row r="54" customFormat="false" ht="15" hidden="false" customHeight="false" outlineLevel="0" collapsed="false">
      <c r="B54" s="7" t="s">
        <v>156</v>
      </c>
      <c r="C54" s="13" t="n">
        <v>76</v>
      </c>
      <c r="D54" s="11" t="s">
        <v>40</v>
      </c>
    </row>
    <row r="55" customFormat="false" ht="15" hidden="false" customHeight="false" outlineLevel="0" collapsed="false">
      <c r="B55" s="7" t="s">
        <v>157</v>
      </c>
      <c r="C55" s="13" t="n">
        <v>76</v>
      </c>
      <c r="D55" s="11" t="s">
        <v>40</v>
      </c>
    </row>
    <row r="56" customFormat="false" ht="15" hidden="false" customHeight="false" outlineLevel="0" collapsed="false">
      <c r="B56" s="7" t="s">
        <v>158</v>
      </c>
      <c r="C56" s="13" t="n">
        <v>8</v>
      </c>
      <c r="D56" s="11" t="s">
        <v>40</v>
      </c>
    </row>
    <row r="57" customFormat="false" ht="15" hidden="false" customHeight="false" outlineLevel="0" collapsed="false">
      <c r="B57" s="7" t="s">
        <v>159</v>
      </c>
      <c r="C57" s="13" t="n">
        <v>45</v>
      </c>
      <c r="D57" s="11" t="s">
        <v>40</v>
      </c>
    </row>
    <row r="58" customFormat="false" ht="15" hidden="false" customHeight="false" outlineLevel="0" collapsed="false">
      <c r="B58" s="7" t="s">
        <v>160</v>
      </c>
      <c r="C58" s="13" t="n">
        <v>45</v>
      </c>
      <c r="D58" s="11" t="s">
        <v>40</v>
      </c>
    </row>
  </sheetData>
  <mergeCells count="54">
    <mergeCell ref="B2:T2"/>
    <mergeCell ref="B3:T3"/>
    <mergeCell ref="B6:E6"/>
    <mergeCell ref="G6:I6"/>
    <mergeCell ref="J6:L6"/>
    <mergeCell ref="N6:T6"/>
    <mergeCell ref="C7:E7"/>
    <mergeCell ref="N7:T8"/>
    <mergeCell ref="C8:E8"/>
    <mergeCell ref="B10:E10"/>
    <mergeCell ref="C11:D11"/>
    <mergeCell ref="N11:T11"/>
    <mergeCell ref="B14:E14"/>
    <mergeCell ref="C15:D15"/>
    <mergeCell ref="N15:T15"/>
    <mergeCell ref="C20:D20"/>
    <mergeCell ref="N20:T20"/>
    <mergeCell ref="G21:L21"/>
    <mergeCell ref="G22:J22"/>
    <mergeCell ref="C23:D23"/>
    <mergeCell ref="G23:J23"/>
    <mergeCell ref="G24:J24"/>
    <mergeCell ref="G25:J25"/>
    <mergeCell ref="G26:J26"/>
    <mergeCell ref="B27:E27"/>
    <mergeCell ref="G27:J27"/>
    <mergeCell ref="N27:T27"/>
    <mergeCell ref="C28:D28"/>
    <mergeCell ref="G28:J28"/>
    <mergeCell ref="G29:J29"/>
    <mergeCell ref="G30:J30"/>
    <mergeCell ref="G31:J31"/>
    <mergeCell ref="N31:T31"/>
    <mergeCell ref="G32:J32"/>
    <mergeCell ref="C33:D33"/>
    <mergeCell ref="G33:J33"/>
    <mergeCell ref="B35:E35"/>
    <mergeCell ref="G35:L35"/>
    <mergeCell ref="C36:D36"/>
    <mergeCell ref="G36:L36"/>
    <mergeCell ref="N36:T36"/>
    <mergeCell ref="C37:D37"/>
    <mergeCell ref="G37:L37"/>
    <mergeCell ref="G38:L38"/>
    <mergeCell ref="G39:L39"/>
    <mergeCell ref="G40:L40"/>
    <mergeCell ref="G41:L41"/>
    <mergeCell ref="C42:D42"/>
    <mergeCell ref="G42:L42"/>
    <mergeCell ref="B43:E43"/>
    <mergeCell ref="C44:D44"/>
    <mergeCell ref="C49:D49"/>
    <mergeCell ref="B51:E51"/>
    <mergeCell ref="C52:D52"/>
  </mergeCells>
  <conditionalFormatting sqref="R12:R53">
    <cfRule type="expression" priority="2" aboveAverage="0" equalAverage="0" bottom="0" percent="0" rank="0" text="" dxfId="0">
      <formula>AND(ISNUMBER(R12),R12&gt;1)</formula>
    </cfRule>
    <cfRule type="expression" priority="3" aboveAverage="0" equalAverage="0" bottom="0" percent="0" rank="0" text="" dxfId="1">
      <formula>AND(ISNUMBER(R12),R12&gt;lim_verde,R12&lt;=1)</formula>
    </cfRule>
    <cfRule type="expression" priority="4" aboveAverage="0" equalAverage="0" bottom="0" percent="0" rank="0" text="" dxfId="2">
      <formula>AND(ISNUMBER(R12),R12&lt;=lim_verde)</formula>
    </cfRule>
  </conditionalFormatting>
  <conditionalFormatting sqref="T12:T53">
    <cfRule type="expression" priority="5" aboveAverage="0" equalAverage="0" bottom="0" percent="0" rank="0" text="" dxfId="0">
      <formula>T12="NO CUMPLE"</formula>
    </cfRule>
    <cfRule type="expression" priority="6" aboveAverage="0" equalAverage="0" bottom="0" percent="0" rank="0" text="" dxfId="1">
      <formula>T12="AL LÍMITE"</formula>
    </cfRule>
    <cfRule type="expression" priority="7" aboveAverage="0" equalAverage="0" bottom="0" percent="0" rank="0" text="" dxfId="2">
      <formula>T12="CUMPLE"</formula>
    </cfRule>
    <cfRule type="expression" priority="8" aboveAverage="0" equalAverage="0" bottom="0" percent="0" rank="0" text="" dxfId="3">
      <formula>T12="N/A"</formula>
    </cfRule>
  </conditionalFormatting>
  <conditionalFormatting sqref="N7:T8">
    <cfRule type="expression" priority="9" aboveAverage="0" equalAverage="0" bottom="0" percent="0" rank="0" text="" dxfId="4">
      <formula>LEFT($N$7,1)="✖"</formula>
    </cfRule>
    <cfRule type="expression" priority="10" aboveAverage="0" equalAverage="0" bottom="0" percent="0" rank="0" text="" dxfId="5">
      <formula>LEFT($N$7,1)="▲"</formula>
    </cfRule>
    <cfRule type="expression" priority="11" aboveAverage="0" equalAverage="0" bottom="0" percent="0" rank="0" text="" dxfId="6">
      <formula>LEFT($N$7,1)="✔"</formula>
    </cfRule>
  </conditionalFormatting>
  <conditionalFormatting sqref="E16:E19">
    <cfRule type="expression" priority="12" aboveAverage="0" equalAverage="0" bottom="0" percent="0" rank="0" text="" dxfId="7">
      <formula>$C$15&lt;&gt;"ARMADO (flejes soldados)"</formula>
    </cfRule>
  </conditionalFormatting>
  <conditionalFormatting sqref="E29:E32">
    <cfRule type="expression" priority="13" aboveAverage="0" equalAverage="0" bottom="0" percent="0" rank="0" text="" dxfId="7">
      <formula>$C$28&lt;&gt;"ARMADO (flejes soldados)"</formula>
    </cfRule>
  </conditionalFormatting>
  <conditionalFormatting sqref="C24:C25">
    <cfRule type="expression" priority="14" aboveAverage="0" equalAverage="0" bottom="0" percent="0" rank="0" text="" dxfId="7">
      <formula>$C$23="Sin destaje"</formula>
    </cfRule>
  </conditionalFormatting>
  <conditionalFormatting sqref="C42:C50">
    <cfRule type="expression" priority="15" aboveAverage="0" equalAverage="0" bottom="0" percent="0" rank="0" text="" dxfId="7">
      <formula>$C$11="Doble ángulo apernado"</formula>
    </cfRule>
  </conditionalFormatting>
  <conditionalFormatting sqref="C52:C58">
    <cfRule type="expression" priority="16" aboveAverage="0" equalAverage="0" bottom="0" percent="0" rank="0" text="" dxfId="7">
      <formula>$C$11&lt;&gt;"Doble ángulo apernado"</formula>
    </cfRule>
  </conditionalFormatting>
  <dataValidations count="9">
    <dataValidation allowBlank="true" errorStyle="stop" operator="between" showDropDown="false" showErrorMessage="false" showInputMessage="false" sqref="C15 C28" type="list">
      <formula1>CATALOGOS!$A$5:$A$40</formula1>
      <formula2>0</formula2>
    </dataValidation>
    <dataValidation allowBlank="true" errorStyle="stop" operator="between" showDropDown="false" showErrorMessage="false" showInputMessage="false" sqref="C20 C33 C44 C52" type="list">
      <formula1>CATALOGOS!$G$5:$G$10</formula1>
      <formula2>0</formula2>
    </dataValidation>
    <dataValidation allowBlank="true" error="Valor fuera de la lista. ¿Usarlo igual?" errorStyle="warning" operator="between" showDropDown="false" showErrorMessage="false" showInputMessage="false" sqref="C46 C56" type="list">
      <formula1>CATALOGOS!$AC$5:$AC$20</formula1>
      <formula2>0</formula2>
    </dataValidation>
    <dataValidation allowBlank="true" errorStyle="stop" operator="between" showDropDown="false" showErrorMessage="false" showInputMessage="false" sqref="C11" type="list">
      <formula1>CATALOGOS!$W$5:$W$7</formula1>
      <formula2>0</formula2>
    </dataValidation>
    <dataValidation allowBlank="true" errorStyle="stop" operator="between" showDropDown="false" showErrorMessage="false" showInputMessage="false" sqref="C23" type="list">
      <formula1>CATALOGOS!$Y$5:$Y$7</formula1>
      <formula2>0</formula2>
    </dataValidation>
    <dataValidation allowBlank="true" errorStyle="stop" operator="between" showDropDown="false" showErrorMessage="false" showInputMessage="false" sqref="C36" type="list">
      <formula1>CATALOGOS!$K$5:$K$9</formula1>
      <formula2>0</formula2>
    </dataValidation>
    <dataValidation allowBlank="true" errorStyle="stop" operator="between" showDropDown="false" showErrorMessage="false" showInputMessage="false" sqref="C37" type="list">
      <formula1>CATALOGOS!$N$5:$N$9</formula1>
      <formula2>0</formula2>
    </dataValidation>
    <dataValidation allowBlank="true" errorStyle="stop" operator="between" showDropDown="false" showErrorMessage="false" showInputMessage="false" sqref="C42" type="list">
      <formula1>CATALOGOS!$AA$5:$AA$6</formula1>
      <formula2>0</formula2>
    </dataValidation>
    <dataValidation allowBlank="true" errorStyle="stop" operator="between" showDropDown="false" showErrorMessage="false" showInputMessage="false" sqref="C49" type="list">
      <formula1>CATALOGOS!$R$5:$R$6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2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3" t="s">
        <v>161</v>
      </c>
    </row>
    <row r="2" customFormat="false" ht="15" hidden="false" customHeight="false" outlineLevel="0" collapsed="false">
      <c r="A2" s="3" t="s">
        <v>162</v>
      </c>
    </row>
    <row r="4" customFormat="false" ht="15" hidden="false" customHeight="false" outlineLevel="0" collapsed="false">
      <c r="A4" s="34" t="s">
        <v>163</v>
      </c>
      <c r="B4" s="34"/>
      <c r="C4" s="34"/>
      <c r="D4" s="34"/>
    </row>
    <row r="5" customFormat="false" ht="15" hidden="false" customHeight="false" outlineLevel="0" collapsed="false">
      <c r="A5" s="35" t="s">
        <v>164</v>
      </c>
      <c r="B5" s="35" t="s">
        <v>165</v>
      </c>
      <c r="C5" s="35" t="s">
        <v>71</v>
      </c>
      <c r="D5" s="36" t="n">
        <f aca="false">IF(tipo="Placa simple convencional",1,0)</f>
        <v>1</v>
      </c>
    </row>
    <row r="6" customFormat="false" ht="15" hidden="false" customHeight="false" outlineLevel="0" collapsed="false">
      <c r="A6" s="35" t="s">
        <v>166</v>
      </c>
      <c r="B6" s="35" t="s">
        <v>167</v>
      </c>
      <c r="C6" s="35" t="s">
        <v>71</v>
      </c>
      <c r="D6" s="36" t="n">
        <f aca="false">IF(tipo="Placa simple extendida",1,0)</f>
        <v>0</v>
      </c>
    </row>
    <row r="7" customFormat="false" ht="15" hidden="false" customHeight="false" outlineLevel="0" collapsed="false">
      <c r="A7" s="35" t="s">
        <v>168</v>
      </c>
      <c r="B7" s="35" t="s">
        <v>169</v>
      </c>
      <c r="C7" s="35" t="s">
        <v>71</v>
      </c>
      <c r="D7" s="36" t="n">
        <f aca="false">IF(tipo="Doble ángulo apernado",1,0)</f>
        <v>0</v>
      </c>
    </row>
    <row r="8" customFormat="false" ht="15" hidden="false" customHeight="false" outlineLevel="0" collapsed="false">
      <c r="A8" s="35" t="s">
        <v>170</v>
      </c>
      <c r="B8" s="35" t="s">
        <v>171</v>
      </c>
      <c r="C8" s="35" t="s">
        <v>71</v>
      </c>
      <c r="D8" s="36" t="n">
        <f aca="false">t_sp+t_se</f>
        <v>1</v>
      </c>
    </row>
    <row r="9" customFormat="false" ht="15" hidden="false" customHeight="false" outlineLevel="0" collapsed="false">
      <c r="A9" s="35" t="s">
        <v>172</v>
      </c>
      <c r="B9" s="35" t="s">
        <v>173</v>
      </c>
      <c r="C9" s="35" t="s">
        <v>54</v>
      </c>
      <c r="D9" s="36" t="n">
        <f aca="false">2040000</f>
        <v>2040000</v>
      </c>
    </row>
    <row r="10" customFormat="false" ht="15" hidden="false" customHeight="false" outlineLevel="0" collapsed="false">
      <c r="A10" s="35" t="s">
        <v>174</v>
      </c>
      <c r="B10" s="35" t="s">
        <v>175</v>
      </c>
      <c r="C10" s="35" t="s">
        <v>176</v>
      </c>
      <c r="D10" s="36" t="n">
        <f aca="false">Ru*1000</f>
        <v>6000</v>
      </c>
    </row>
    <row r="11" customFormat="false" ht="15" hidden="false" customHeight="false" outlineLevel="0" collapsed="false">
      <c r="A11" s="35" t="s">
        <v>177</v>
      </c>
      <c r="B11" s="35" t="s">
        <v>178</v>
      </c>
      <c r="C11" s="35" t="s">
        <v>60</v>
      </c>
      <c r="D11" s="37" t="n">
        <f aca="false">vg_d_mm/10</f>
        <v>30</v>
      </c>
    </row>
    <row r="12" customFormat="false" ht="15" hidden="false" customHeight="false" outlineLevel="0" collapsed="false">
      <c r="A12" s="35" t="s">
        <v>179</v>
      </c>
      <c r="B12" s="35" t="s">
        <v>180</v>
      </c>
      <c r="C12" s="35" t="s">
        <v>60</v>
      </c>
      <c r="D12" s="37" t="n">
        <f aca="false">vg_bf_mm/10</f>
        <v>15</v>
      </c>
    </row>
    <row r="13" customFormat="false" ht="15" hidden="false" customHeight="false" outlineLevel="0" collapsed="false">
      <c r="A13" s="35" t="s">
        <v>181</v>
      </c>
      <c r="B13" s="35" t="s">
        <v>182</v>
      </c>
      <c r="C13" s="35" t="s">
        <v>60</v>
      </c>
      <c r="D13" s="37" t="n">
        <f aca="false">vg_tw_mm/10</f>
        <v>0.4</v>
      </c>
    </row>
    <row r="14" customFormat="false" ht="15" hidden="false" customHeight="false" outlineLevel="0" collapsed="false">
      <c r="A14" s="35" t="s">
        <v>183</v>
      </c>
      <c r="B14" s="35" t="s">
        <v>184</v>
      </c>
      <c r="C14" s="35" t="s">
        <v>60</v>
      </c>
      <c r="D14" s="37" t="n">
        <f aca="false">vg_tf_mm/10</f>
        <v>1</v>
      </c>
    </row>
    <row r="15" customFormat="false" ht="15" hidden="false" customHeight="false" outlineLevel="0" collapsed="false">
      <c r="A15" s="35" t="s">
        <v>185</v>
      </c>
      <c r="B15" s="35" t="s">
        <v>186</v>
      </c>
      <c r="C15" s="35" t="s">
        <v>60</v>
      </c>
      <c r="D15" s="37" t="n">
        <f aca="false">vp_d_mm/10</f>
        <v>40</v>
      </c>
    </row>
    <row r="16" customFormat="false" ht="15" hidden="false" customHeight="false" outlineLevel="0" collapsed="false">
      <c r="A16" s="35" t="s">
        <v>187</v>
      </c>
      <c r="B16" s="35" t="s">
        <v>188</v>
      </c>
      <c r="C16" s="35" t="s">
        <v>60</v>
      </c>
      <c r="D16" s="37" t="n">
        <f aca="false">vp_bf_mm/10</f>
        <v>18</v>
      </c>
    </row>
    <row r="17" customFormat="false" ht="15" hidden="false" customHeight="false" outlineLevel="0" collapsed="false">
      <c r="A17" s="35" t="s">
        <v>189</v>
      </c>
      <c r="B17" s="35" t="s">
        <v>190</v>
      </c>
      <c r="C17" s="35" t="s">
        <v>60</v>
      </c>
      <c r="D17" s="37" t="n">
        <f aca="false">vp_tw_mm/10</f>
        <v>0.6</v>
      </c>
    </row>
    <row r="18" customFormat="false" ht="15" hidden="false" customHeight="false" outlineLevel="0" collapsed="false">
      <c r="A18" s="35" t="s">
        <v>191</v>
      </c>
      <c r="B18" s="35" t="s">
        <v>192</v>
      </c>
      <c r="C18" s="35" t="s">
        <v>60</v>
      </c>
      <c r="D18" s="37" t="n">
        <f aca="false">vp_tf_mm/10</f>
        <v>1.2</v>
      </c>
    </row>
    <row r="19" customFormat="false" ht="15" hidden="false" customHeight="false" outlineLevel="0" collapsed="false">
      <c r="A19" s="35" t="s">
        <v>193</v>
      </c>
      <c r="B19" s="35" t="s">
        <v>194</v>
      </c>
      <c r="C19" s="35" t="s">
        <v>60</v>
      </c>
      <c r="D19" s="37" t="n">
        <f aca="false">b_tf+vg_kw/10</f>
        <v>1.5</v>
      </c>
    </row>
    <row r="20" customFormat="false" ht="15" hidden="false" customHeight="false" outlineLevel="0" collapsed="false">
      <c r="A20" s="35" t="s">
        <v>195</v>
      </c>
      <c r="B20" s="35" t="s">
        <v>64</v>
      </c>
      <c r="C20" s="35" t="s">
        <v>60</v>
      </c>
      <c r="D20" s="37" t="n">
        <f aca="false">IF(destaje="Sin destaje",0,cope_dc/10)</f>
        <v>3</v>
      </c>
    </row>
    <row r="21" customFormat="false" ht="15" hidden="false" customHeight="false" outlineLevel="0" collapsed="false">
      <c r="A21" s="35" t="s">
        <v>196</v>
      </c>
      <c r="B21" s="35" t="s">
        <v>197</v>
      </c>
      <c r="C21" s="35" t="s">
        <v>60</v>
      </c>
      <c r="D21" s="37" t="n">
        <f aca="false">IF(destaje="Destaje doble (sup. = inf.)",cope_dc/10,0)</f>
        <v>0</v>
      </c>
    </row>
    <row r="22" customFormat="false" ht="15" hidden="false" customHeight="false" outlineLevel="0" collapsed="false">
      <c r="A22" s="35" t="s">
        <v>198</v>
      </c>
      <c r="B22" s="35" t="s">
        <v>199</v>
      </c>
      <c r="C22" s="35" t="s">
        <v>60</v>
      </c>
      <c r="D22" s="37" t="n">
        <f aca="false">IF(destaje="Sin destaje",0,cope_c/10)</f>
        <v>9</v>
      </c>
    </row>
    <row r="23" customFormat="false" ht="15" hidden="false" customHeight="false" outlineLevel="0" collapsed="false">
      <c r="A23" s="35" t="s">
        <v>200</v>
      </c>
      <c r="B23" s="35" t="s">
        <v>201</v>
      </c>
      <c r="C23" s="35" t="s">
        <v>60</v>
      </c>
      <c r="D23" s="37" t="n">
        <f aca="false">b_d-c_top-c_bot</f>
        <v>27</v>
      </c>
    </row>
    <row r="24" customFormat="false" ht="15" hidden="false" customHeight="false" outlineLevel="0" collapsed="false">
      <c r="A24" s="35" t="s">
        <v>202</v>
      </c>
      <c r="B24" s="35" t="s">
        <v>109</v>
      </c>
      <c r="C24" s="35" t="s">
        <v>203</v>
      </c>
      <c r="D24" s="37" t="n">
        <f aca="false">INDEX(CATALOGOS!$O$5:$O$9,MATCH(pn_diam,CATALOGOS!$N$5:$N$9,0))</f>
        <v>0.75</v>
      </c>
    </row>
    <row r="25" customFormat="false" ht="15" hidden="false" customHeight="false" outlineLevel="0" collapsed="false">
      <c r="A25" s="35" t="s">
        <v>202</v>
      </c>
      <c r="B25" s="35" t="s">
        <v>109</v>
      </c>
      <c r="C25" s="35" t="s">
        <v>60</v>
      </c>
      <c r="D25" s="37" t="n">
        <f aca="false">a_dbi*2.54</f>
        <v>1.905</v>
      </c>
    </row>
    <row r="26" customFormat="false" ht="15" hidden="false" customHeight="false" outlineLevel="0" collapsed="false">
      <c r="A26" s="35" t="s">
        <v>204</v>
      </c>
      <c r="B26" s="35" t="s">
        <v>205</v>
      </c>
      <c r="C26" s="35" t="s">
        <v>206</v>
      </c>
      <c r="D26" s="37" t="n">
        <f aca="false">PI()*a_db^2/4</f>
        <v>2.85022956992342</v>
      </c>
    </row>
    <row r="27" customFormat="false" ht="15" hidden="false" customHeight="false" outlineLevel="0" collapsed="false">
      <c r="A27" s="35" t="s">
        <v>207</v>
      </c>
      <c r="B27" s="35" t="s">
        <v>208</v>
      </c>
      <c r="C27" s="35" t="s">
        <v>60</v>
      </c>
      <c r="D27" s="37" t="n">
        <f aca="false">IF(a_dbi&lt;1,a_dbi+1/16,a_dbi+1/8)*2.54</f>
        <v>2.06375</v>
      </c>
    </row>
    <row r="28" customFormat="false" ht="15" hidden="false" customHeight="false" outlineLevel="0" collapsed="false">
      <c r="A28" s="35" t="s">
        <v>209</v>
      </c>
      <c r="B28" s="35" t="s">
        <v>210</v>
      </c>
      <c r="C28" s="35" t="s">
        <v>60</v>
      </c>
      <c r="D28" s="37" t="n">
        <f aca="false">a_dh+0.15875</f>
        <v>2.2225</v>
      </c>
    </row>
    <row r="29" customFormat="false" ht="15" hidden="false" customHeight="false" outlineLevel="0" collapsed="false">
      <c r="A29" s="35" t="s">
        <v>211</v>
      </c>
      <c r="B29" s="35" t="s">
        <v>212</v>
      </c>
      <c r="C29" s="35" t="s">
        <v>60</v>
      </c>
      <c r="D29" s="37" t="n">
        <f aca="false">IF(agujero="STD",a_dh,IF(a_dbi&lt;1,a_dbi+0.25,IF(a_dbi&lt;1.1,a_dbi+5/16,a_dbi+3/8))*2.54)</f>
        <v>2.06375</v>
      </c>
    </row>
    <row r="30" customFormat="false" ht="15" hidden="false" customHeight="false" outlineLevel="0" collapsed="false">
      <c r="A30" s="35" t="s">
        <v>213</v>
      </c>
      <c r="B30" s="35" t="s">
        <v>214</v>
      </c>
      <c r="C30" s="35" t="s">
        <v>60</v>
      </c>
      <c r="D30" s="37" t="n">
        <f aca="false">INDEX(CATALOGOS!$P$5:$P$9,MATCH(pn_diam,CATALOGOS!$N$5:$N$9,0))*2.54</f>
        <v>2.54</v>
      </c>
    </row>
    <row r="31" customFormat="false" ht="15" hidden="false" customHeight="false" outlineLevel="0" collapsed="false">
      <c r="A31" s="35" t="s">
        <v>215</v>
      </c>
      <c r="B31" s="35" t="s">
        <v>216</v>
      </c>
      <c r="C31" s="35" t="s">
        <v>54</v>
      </c>
      <c r="D31" s="36" t="n">
        <f aca="false">INDEX(CATALOGOS!$L$5:$L$9,MATCH(pn_grado,CATALOGOS!$K$5:$K$9,0))</f>
        <v>3797</v>
      </c>
    </row>
    <row r="32" customFormat="false" ht="15" hidden="false" customHeight="false" outlineLevel="0" collapsed="false">
      <c r="A32" s="35" t="s">
        <v>217</v>
      </c>
      <c r="B32" s="35" t="s">
        <v>218</v>
      </c>
      <c r="C32" s="35" t="s">
        <v>60</v>
      </c>
      <c r="D32" s="37" t="n">
        <f aca="false">pn_s/10</f>
        <v>7.5</v>
      </c>
    </row>
    <row r="33" customFormat="false" ht="15" hidden="false" customHeight="false" outlineLevel="0" collapsed="false">
      <c r="A33" s="35" t="s">
        <v>219</v>
      </c>
      <c r="B33" s="35" t="s">
        <v>220</v>
      </c>
      <c r="C33" s="35" t="s">
        <v>60</v>
      </c>
      <c r="D33" s="37" t="n">
        <f aca="false">pn_Lev/10</f>
        <v>3.5</v>
      </c>
    </row>
    <row r="34" customFormat="false" ht="15" hidden="false" customHeight="false" outlineLevel="0" collapsed="false">
      <c r="A34" s="35" t="s">
        <v>221</v>
      </c>
      <c r="B34" s="35" t="s">
        <v>222</v>
      </c>
      <c r="C34" s="35" t="s">
        <v>60</v>
      </c>
      <c r="D34" s="38" t="n">
        <f aca="false">(n_b-1)*a_s+2*e_Lev</f>
        <v>22</v>
      </c>
    </row>
    <row r="35" customFormat="false" ht="15" hidden="false" customHeight="false" outlineLevel="0" collapsed="false">
      <c r="A35" s="35" t="s">
        <v>223</v>
      </c>
      <c r="B35" s="35" t="s">
        <v>224</v>
      </c>
      <c r="C35" s="35" t="s">
        <v>60</v>
      </c>
      <c r="D35" s="38" t="n">
        <f aca="false">pn_top/10-e_Lev</f>
        <v>3.5</v>
      </c>
    </row>
    <row r="36" customFormat="false" ht="15" hidden="false" customHeight="false" outlineLevel="0" collapsed="false">
      <c r="A36" s="35" t="s">
        <v>225</v>
      </c>
      <c r="B36" s="35" t="s">
        <v>226</v>
      </c>
      <c r="C36" s="35" t="s">
        <v>60</v>
      </c>
      <c r="D36" s="37" t="n">
        <f aca="false">IF(c_top&gt;0,pn_top/10-c_top,1000)</f>
        <v>4</v>
      </c>
    </row>
    <row r="37" customFormat="false" ht="15" hidden="false" customHeight="false" outlineLevel="0" collapsed="false">
      <c r="A37" s="35" t="s">
        <v>227</v>
      </c>
      <c r="B37" s="35" t="s">
        <v>228</v>
      </c>
      <c r="C37" s="35" t="s">
        <v>60</v>
      </c>
      <c r="D37" s="37" t="n">
        <f aca="false">IF(t_pl=1,pl_tp,an_t)/10</f>
        <v>0.8</v>
      </c>
    </row>
    <row r="38" customFormat="false" ht="15" hidden="false" customHeight="false" outlineLevel="0" collapsed="false">
      <c r="A38" s="35" t="s">
        <v>229</v>
      </c>
      <c r="B38" s="35" t="s">
        <v>230</v>
      </c>
      <c r="C38" s="35" t="s">
        <v>54</v>
      </c>
      <c r="D38" s="36" t="n">
        <f aca="false">IF(t_pl=1,pl_Fy,an_Fy)</f>
        <v>2530</v>
      </c>
    </row>
    <row r="39" customFormat="false" ht="15" hidden="false" customHeight="false" outlineLevel="0" collapsed="false">
      <c r="A39" s="35" t="s">
        <v>231</v>
      </c>
      <c r="B39" s="35" t="s">
        <v>232</v>
      </c>
      <c r="C39" s="35" t="s">
        <v>54</v>
      </c>
      <c r="D39" s="36" t="n">
        <f aca="false">IF(t_pl=1,pl_Fu,an_Fu)</f>
        <v>4080</v>
      </c>
    </row>
    <row r="40" customFormat="false" ht="15" hidden="false" customHeight="false" outlineLevel="0" collapsed="false">
      <c r="A40" s="35" t="s">
        <v>233</v>
      </c>
      <c r="B40" s="35" t="s">
        <v>234</v>
      </c>
      <c r="C40" s="35" t="s">
        <v>60</v>
      </c>
      <c r="D40" s="37" t="n">
        <f aca="false">IF(t_pl=1,pl_a,an_gb)/10</f>
        <v>6.5</v>
      </c>
    </row>
    <row r="41" customFormat="false" ht="15" hidden="false" customHeight="false" outlineLevel="0" collapsed="false">
      <c r="A41" s="35" t="s">
        <v>235</v>
      </c>
      <c r="B41" s="35" t="s">
        <v>236</v>
      </c>
      <c r="C41" s="35" t="s">
        <v>60</v>
      </c>
      <c r="D41" s="37" t="n">
        <f aca="false">IF(t_pl=1,pl_Leh/10,(an_lb-an_gb)/10)</f>
        <v>4.5</v>
      </c>
    </row>
    <row r="42" customFormat="false" ht="15" hidden="false" customHeight="false" outlineLevel="0" collapsed="false">
      <c r="A42" s="35" t="s">
        <v>237</v>
      </c>
      <c r="B42" s="35" t="s">
        <v>238</v>
      </c>
      <c r="C42" s="35" t="s">
        <v>60</v>
      </c>
      <c r="D42" s="37" t="n">
        <f aca="false">e_xb-setback/10</f>
        <v>5</v>
      </c>
    </row>
    <row r="43" customFormat="false" ht="15" hidden="false" customHeight="false" outlineLevel="0" collapsed="false">
      <c r="A43" s="34" t="s">
        <v>239</v>
      </c>
      <c r="B43" s="34"/>
      <c r="C43" s="34"/>
      <c r="D43" s="34"/>
    </row>
    <row r="44" customFormat="false" ht="15" hidden="false" customHeight="false" outlineLevel="0" collapsed="false">
      <c r="A44" s="35" t="s">
        <v>240</v>
      </c>
      <c r="B44" s="35" t="s">
        <v>241</v>
      </c>
      <c r="C44" s="35" t="s">
        <v>60</v>
      </c>
      <c r="D44" s="39" t="n">
        <f aca="false">IF(t_sp=1,IF(OR(agujero&lt;&gt;"STD",n_b&lt;=5),e_xb/2,e_xb),IF(t_se=1,e_xb,0))</f>
        <v>3.25</v>
      </c>
    </row>
    <row r="45" customFormat="false" ht="15" hidden="false" customHeight="false" outlineLevel="0" collapsed="false">
      <c r="A45" s="35" t="s">
        <v>242</v>
      </c>
      <c r="B45" s="35" t="s">
        <v>243</v>
      </c>
      <c r="C45" s="35" t="s">
        <v>206</v>
      </c>
      <c r="D45" s="38" t="n">
        <f aca="false">a_s^2*n_b*(n_b^2-1)/12</f>
        <v>112.5</v>
      </c>
    </row>
    <row r="46" customFormat="false" ht="15" hidden="false" customHeight="false" outlineLevel="0" collapsed="false">
      <c r="A46" s="35" t="s">
        <v>244</v>
      </c>
      <c r="B46" s="35" t="s">
        <v>245</v>
      </c>
      <c r="C46" s="35" t="s">
        <v>60</v>
      </c>
      <c r="D46" s="39" t="n">
        <f aca="false">a_s*(n_b-1)/2</f>
        <v>7.5</v>
      </c>
    </row>
    <row r="47" customFormat="false" ht="15" hidden="false" customHeight="false" outlineLevel="0" collapsed="false">
      <c r="A47" s="35" t="s">
        <v>246</v>
      </c>
      <c r="B47" s="35" t="s">
        <v>247</v>
      </c>
      <c r="C47" s="35" t="s">
        <v>176</v>
      </c>
      <c r="D47" s="36" t="n">
        <f aca="false">k_R*SQRT(1/n_b^2+(p_e*p_ym/MAX(p_Sy2,0.000000001))^2)</f>
        <v>2385.37208837531</v>
      </c>
    </row>
    <row r="48" customFormat="false" ht="15" hidden="false" customHeight="false" outlineLevel="0" collapsed="false">
      <c r="A48" s="35" t="s">
        <v>248</v>
      </c>
      <c r="B48" s="35" t="s">
        <v>249</v>
      </c>
      <c r="C48" s="35" t="s">
        <v>71</v>
      </c>
      <c r="D48" s="36" t="n">
        <f aca="false">IF(t_da=1,2,1)</f>
        <v>1</v>
      </c>
    </row>
    <row r="49" customFormat="false" ht="15" hidden="false" customHeight="false" outlineLevel="0" collapsed="false">
      <c r="A49" s="35" t="s">
        <v>250</v>
      </c>
      <c r="B49" s="35" t="s">
        <v>251</v>
      </c>
      <c r="C49" s="35" t="s">
        <v>176</v>
      </c>
      <c r="D49" s="36" t="n">
        <f aca="false">0.75*a_Fnv*a_Ab*p_nsh</f>
        <v>8116.74125774943</v>
      </c>
    </row>
    <row r="50" customFormat="false" ht="15" hidden="false" customHeight="false" outlineLevel="0" collapsed="false">
      <c r="A50" s="35" t="s">
        <v>252</v>
      </c>
      <c r="B50" s="35" t="s">
        <v>253</v>
      </c>
      <c r="C50" s="35" t="s">
        <v>60</v>
      </c>
      <c r="D50" s="37" t="n">
        <f aca="false">MIN(b_Lev-a_dh/2,IF(p_e&gt;0,b_Leh-a_dh/2,1000),a_s-a_dh)</f>
        <v>2.968125</v>
      </c>
    </row>
    <row r="51" customFormat="false" ht="15" hidden="false" customHeight="false" outlineLevel="0" collapsed="false">
      <c r="A51" s="35" t="s">
        <v>254</v>
      </c>
      <c r="B51" s="35" t="s">
        <v>255</v>
      </c>
      <c r="C51" s="35" t="s">
        <v>60</v>
      </c>
      <c r="D51" s="37" t="n">
        <f aca="false">MIN(e_Lev-a_dh/2,IF(p_e&gt;0,e_Leh-a_sl/2,1000),a_s-a_dh)</f>
        <v>2.468125</v>
      </c>
    </row>
    <row r="52" customFormat="false" ht="15" hidden="false" customHeight="false" outlineLevel="0" collapsed="false">
      <c r="A52" s="35" t="s">
        <v>256</v>
      </c>
      <c r="B52" s="35" t="s">
        <v>257</v>
      </c>
      <c r="C52" s="35" t="s">
        <v>176</v>
      </c>
      <c r="D52" s="36" t="n">
        <f aca="false">0.75*MIN(1.2*p_Lcw,2.4*a_db)*b_tw*vg_Fu</f>
        <v>4883.15925</v>
      </c>
    </row>
    <row r="53" customFormat="false" ht="15" hidden="false" customHeight="false" outlineLevel="0" collapsed="false">
      <c r="A53" s="35" t="s">
        <v>258</v>
      </c>
      <c r="B53" s="35" t="s">
        <v>259</v>
      </c>
      <c r="C53" s="35" t="s">
        <v>176</v>
      </c>
      <c r="D53" s="36" t="n">
        <f aca="false">0.75*MIN(1.2*p_Lce,2.4*a_db)*e_t*e_Fu*IF(t_da=1,2,1)</f>
        <v>7250.364</v>
      </c>
    </row>
    <row r="54" customFormat="false" ht="15" hidden="false" customHeight="false" outlineLevel="0" collapsed="false">
      <c r="A54" s="34" t="s">
        <v>260</v>
      </c>
      <c r="B54" s="34"/>
      <c r="C54" s="34"/>
      <c r="D54" s="34"/>
    </row>
    <row r="55" customFormat="false" ht="15" hidden="false" customHeight="false" outlineLevel="0" collapsed="false">
      <c r="A55" s="35" t="s">
        <v>261</v>
      </c>
      <c r="B55" s="35" t="s">
        <v>262</v>
      </c>
      <c r="C55" s="35" t="s">
        <v>176</v>
      </c>
      <c r="D55" s="36" t="n">
        <f aca="false">0.75*a_Fnv*a_Ab*2*n_b</f>
        <v>48700.4475464966</v>
      </c>
    </row>
    <row r="56" customFormat="false" ht="15" hidden="false" customHeight="false" outlineLevel="0" collapsed="false">
      <c r="A56" s="35" t="s">
        <v>261</v>
      </c>
      <c r="B56" s="35" t="s">
        <v>263</v>
      </c>
      <c r="C56" s="35" t="s">
        <v>176</v>
      </c>
      <c r="D56" s="36" t="n">
        <f aca="false">2*0.75*(MIN(1.2*(e_Lev-a_dh/2),2.4*a_db)+(n_b-1)*MIN(1.2*(a_s-a_dh),2.4*a_db))*an_t/10*an_Fu</f>
        <v>59269.752</v>
      </c>
    </row>
    <row r="57" customFormat="false" ht="15" hidden="false" customHeight="false" outlineLevel="0" collapsed="false">
      <c r="A57" s="35" t="s">
        <v>261</v>
      </c>
      <c r="B57" s="35" t="s">
        <v>264</v>
      </c>
      <c r="C57" s="35" t="s">
        <v>176</v>
      </c>
      <c r="D57" s="36" t="n">
        <f aca="false">2*n_b*0.75*MIN(1.2*(a_s-a_dh),2.4*a_db)*g_tw*vp_Fu</f>
        <v>56413.908</v>
      </c>
    </row>
    <row r="58" customFormat="false" ht="15" hidden="false" customHeight="false" outlineLevel="0" collapsed="false">
      <c r="A58" s="34" t="s">
        <v>265</v>
      </c>
      <c r="B58" s="34"/>
      <c r="C58" s="34"/>
      <c r="D58" s="34"/>
    </row>
    <row r="59" customFormat="false" ht="15" hidden="false" customHeight="false" outlineLevel="0" collapsed="false">
      <c r="A59" s="35" t="s">
        <v>266</v>
      </c>
      <c r="B59" s="35" t="s">
        <v>267</v>
      </c>
      <c r="C59" s="35" t="s">
        <v>71</v>
      </c>
      <c r="D59" s="36" t="n">
        <f aca="false">IF(t_da=1,2,1)</f>
        <v>1</v>
      </c>
    </row>
    <row r="60" customFormat="false" ht="15" hidden="false" customHeight="false" outlineLevel="0" collapsed="false">
      <c r="A60" s="35" t="s">
        <v>261</v>
      </c>
      <c r="B60" s="35" t="s">
        <v>268</v>
      </c>
      <c r="C60" s="35" t="s">
        <v>176</v>
      </c>
      <c r="D60" s="36" t="n">
        <f aca="false">1*0.6*e_Fy*e_L*e_t*m_n</f>
        <v>26716.8</v>
      </c>
    </row>
    <row r="61" customFormat="false" ht="15" hidden="false" customHeight="false" outlineLevel="0" collapsed="false">
      <c r="A61" s="35" t="s">
        <v>261</v>
      </c>
      <c r="B61" s="35" t="s">
        <v>269</v>
      </c>
      <c r="C61" s="35" t="s">
        <v>176</v>
      </c>
      <c r="D61" s="36" t="n">
        <f aca="false">0.75*0.6*e_Fu*(e_L-n_b*a_dn)*e_t*m_n</f>
        <v>22520.376</v>
      </c>
    </row>
    <row r="62" customFormat="false" ht="15" hidden="false" customHeight="false" outlineLevel="0" collapsed="false">
      <c r="A62" s="35" t="s">
        <v>261</v>
      </c>
      <c r="B62" s="35" t="s">
        <v>270</v>
      </c>
      <c r="C62" s="35" t="s">
        <v>176</v>
      </c>
      <c r="D62" s="36" t="n">
        <f aca="false">m_n*0.75*(MIN(0.6*e_Fu*(((e_Lev)+(n_b-1)*a_s)*e_t-(n_b-0.5)*a_dn*e_t),0.6*e_Fy*((e_Lev)+(n_b-1)*a_s)*e_t)+e_Fu*((e_Leh)-0.5*IF(t_pl=1,a_sl+0.15875,a_dn))*e_t)</f>
        <v>25145.46</v>
      </c>
    </row>
    <row r="63" customFormat="false" ht="15" hidden="false" customHeight="false" outlineLevel="0" collapsed="false">
      <c r="A63" s="35" t="s">
        <v>261</v>
      </c>
      <c r="B63" s="35" t="s">
        <v>271</v>
      </c>
      <c r="C63" s="35" t="s">
        <v>176</v>
      </c>
      <c r="D63" s="36" t="n">
        <f aca="false">2*0.75*(MIN(0.6*an_Fu*(((e_Lev)+(n_b-1)*a_s)*an_t/10-(n_b-0.5)*a_dn*an_t/10),0.6*an_Fy*((e_Lev)+(n_b-1)*a_s)*an_t/10)+an_Fu*(((an_ls-an_gs)/10)-0.5*a_dn)*an_t/10)</f>
        <v>43436.52</v>
      </c>
    </row>
    <row r="64" customFormat="false" ht="15" hidden="false" customHeight="false" outlineLevel="0" collapsed="false">
      <c r="A64" s="34" t="s">
        <v>272</v>
      </c>
      <c r="B64" s="34"/>
      <c r="C64" s="34"/>
      <c r="D64" s="34"/>
    </row>
    <row r="65" customFormat="false" ht="15" hidden="false" customHeight="false" outlineLevel="0" collapsed="false">
      <c r="A65" s="35" t="s">
        <v>273</v>
      </c>
      <c r="B65" s="35" t="s">
        <v>274</v>
      </c>
      <c r="C65" s="35" t="s">
        <v>275</v>
      </c>
      <c r="D65" s="36" t="n">
        <f aca="false">k_R*e_xb</f>
        <v>39000</v>
      </c>
    </row>
    <row r="66" customFormat="false" ht="15" hidden="false" customHeight="false" outlineLevel="0" collapsed="false">
      <c r="A66" s="35" t="s">
        <v>276</v>
      </c>
      <c r="B66" s="35" t="s">
        <v>277</v>
      </c>
      <c r="C66" s="35" t="s">
        <v>176</v>
      </c>
      <c r="D66" s="36" t="n">
        <f aca="false">0.6*pl_Fy*e_L*pl_tp/10</f>
        <v>26716.8</v>
      </c>
    </row>
    <row r="67" customFormat="false" ht="15" hidden="false" customHeight="false" outlineLevel="0" collapsed="false">
      <c r="A67" s="35" t="s">
        <v>278</v>
      </c>
      <c r="B67" s="35" t="s">
        <v>279</v>
      </c>
      <c r="C67" s="35" t="s">
        <v>275</v>
      </c>
      <c r="D67" s="36" t="n">
        <f aca="false">0.9*pl_Fy*pl_tp/10*e_L^2/4</f>
        <v>220413.6</v>
      </c>
    </row>
    <row r="68" customFormat="false" ht="15" hidden="false" customHeight="false" outlineLevel="0" collapsed="false">
      <c r="A68" s="35" t="s">
        <v>280</v>
      </c>
      <c r="B68" s="35" t="s">
        <v>281</v>
      </c>
      <c r="C68" s="35" t="s">
        <v>71</v>
      </c>
      <c r="D68" s="37" t="n">
        <f aca="false">(k_R/x_Vc)^2+(x_Mu/x_Mc)^2</f>
        <v>0.08174297732758</v>
      </c>
    </row>
    <row r="69" customFormat="false" ht="15" hidden="false" customHeight="false" outlineLevel="0" collapsed="false">
      <c r="A69" s="35" t="s">
        <v>282</v>
      </c>
      <c r="B69" s="35" t="s">
        <v>283</v>
      </c>
      <c r="C69" s="35" t="s">
        <v>89</v>
      </c>
      <c r="D69" s="39" t="n">
        <f aca="false">pl_tp/10*(e_L^2/4-a_dn*a_s*INT(n_b^2/4))</f>
        <v>70.13</v>
      </c>
    </row>
    <row r="70" customFormat="false" ht="15" hidden="false" customHeight="false" outlineLevel="0" collapsed="false">
      <c r="A70" s="35" t="s">
        <v>278</v>
      </c>
      <c r="B70" s="35" t="s">
        <v>284</v>
      </c>
      <c r="C70" s="35" t="s">
        <v>275</v>
      </c>
      <c r="D70" s="36" t="n">
        <f aca="false">0.75*pl_Fu*x_Zn</f>
        <v>214597.8</v>
      </c>
    </row>
    <row r="71" customFormat="false" ht="15" hidden="false" customHeight="false" outlineLevel="0" collapsed="false">
      <c r="A71" s="35" t="s">
        <v>285</v>
      </c>
      <c r="B71" s="35" t="s">
        <v>286</v>
      </c>
      <c r="C71" s="35" t="s">
        <v>71</v>
      </c>
      <c r="D71" s="37" t="n">
        <f aca="false">e_L*SQRT(pl_Fy/70.307)/(10*pl_tp/10*SQRT(475+280*(e_L/e_xb)^2))</f>
        <v>0.271842860660816</v>
      </c>
    </row>
    <row r="72" customFormat="false" ht="15" hidden="false" customHeight="false" outlineLevel="0" collapsed="false">
      <c r="A72" s="35" t="s">
        <v>287</v>
      </c>
      <c r="B72" s="35" t="s">
        <v>288</v>
      </c>
      <c r="C72" s="35" t="s">
        <v>71</v>
      </c>
      <c r="D72" s="37" t="n">
        <f aca="false">IF(x_lam&lt;=0.7,1,IF(x_lam&lt;=1.41,1.34-0.486*x_lam,1.3/x_lam^2))</f>
        <v>1</v>
      </c>
    </row>
    <row r="73" customFormat="false" ht="15" hidden="false" customHeight="false" outlineLevel="0" collapsed="false">
      <c r="A73" s="35" t="s">
        <v>278</v>
      </c>
      <c r="B73" s="35" t="s">
        <v>289</v>
      </c>
      <c r="C73" s="35" t="s">
        <v>275</v>
      </c>
      <c r="D73" s="36" t="n">
        <f aca="false">0.9*x_Q*pl_Fy*pl_tp/10*e_L^2/6</f>
        <v>146942.4</v>
      </c>
    </row>
    <row r="74" customFormat="false" ht="15" hidden="false" customHeight="false" outlineLevel="0" collapsed="false">
      <c r="A74" s="35" t="s">
        <v>290</v>
      </c>
      <c r="B74" s="35" t="s">
        <v>291</v>
      </c>
      <c r="C74" s="35" t="s">
        <v>275</v>
      </c>
      <c r="D74" s="36" t="n">
        <f aca="false">a_Fnv/0.9*a_Ab*p_Sy2/MAX(p_ym,0.000000001)</f>
        <v>180372.027949987</v>
      </c>
    </row>
    <row r="75" customFormat="false" ht="15" hidden="false" customHeight="false" outlineLevel="0" collapsed="false">
      <c r="A75" s="35" t="s">
        <v>292</v>
      </c>
      <c r="B75" s="35" t="s">
        <v>293</v>
      </c>
      <c r="C75" s="35" t="s">
        <v>60</v>
      </c>
      <c r="D75" s="39" t="n">
        <f aca="false">6*x_Mmax/(pl_Fy*e_L^2)</f>
        <v>0.883801136526904</v>
      </c>
    </row>
    <row r="76" customFormat="false" ht="15" hidden="false" customHeight="false" outlineLevel="0" collapsed="false">
      <c r="A76" s="34" t="s">
        <v>294</v>
      </c>
      <c r="B76" s="34"/>
      <c r="C76" s="34"/>
      <c r="D76" s="34"/>
    </row>
    <row r="77" customFormat="false" ht="15" hidden="false" customHeight="false" outlineLevel="0" collapsed="false">
      <c r="A77" s="35" t="s">
        <v>295</v>
      </c>
      <c r="B77" s="35" t="s">
        <v>146</v>
      </c>
      <c r="C77" s="35" t="s">
        <v>54</v>
      </c>
      <c r="D77" s="36" t="n">
        <f aca="false">INDEX(CATALOGOS!$S$5:$S$6,MATCH(sd_elec,CATALOGOS!$R$5:$R$6,0))</f>
        <v>4920</v>
      </c>
    </row>
    <row r="78" customFormat="false" ht="15" hidden="false" customHeight="false" outlineLevel="0" collapsed="false">
      <c r="A78" s="35" t="s">
        <v>261</v>
      </c>
      <c r="B78" s="35" t="s">
        <v>296</v>
      </c>
      <c r="C78" s="35" t="s">
        <v>176</v>
      </c>
      <c r="D78" s="36" t="n">
        <f aca="false">0.75*0.6*w_FEXX*0.707*pl_w/10*2*e_L</f>
        <v>41323.8672</v>
      </c>
    </row>
    <row r="79" customFormat="false" ht="15" hidden="false" customHeight="false" outlineLevel="0" collapsed="false">
      <c r="A79" s="35" t="s">
        <v>297</v>
      </c>
      <c r="B79" s="35" t="s">
        <v>298</v>
      </c>
      <c r="C79" s="35" t="s">
        <v>60</v>
      </c>
      <c r="D79" s="39" t="n">
        <f aca="false">0.707*pl_w/10*w_FEXX/vp_Fu*IF(Ru_op&gt;0,2,1)</f>
        <v>0.456687964989059</v>
      </c>
    </row>
    <row r="80" customFormat="false" ht="15" hidden="false" customHeight="false" outlineLevel="0" collapsed="false">
      <c r="A80" s="34" t="s">
        <v>299</v>
      </c>
      <c r="B80" s="34"/>
      <c r="C80" s="34"/>
      <c r="D80" s="34"/>
    </row>
    <row r="81" customFormat="false" ht="15" hidden="false" customHeight="false" outlineLevel="0" collapsed="false">
      <c r="A81" s="35" t="s">
        <v>261</v>
      </c>
      <c r="B81" s="35" t="s">
        <v>300</v>
      </c>
      <c r="C81" s="35" t="s">
        <v>176</v>
      </c>
      <c r="D81" s="36" t="n">
        <f aca="false">0.6*vg_Fy*b_ho*b_tw</f>
        <v>22777.2</v>
      </c>
    </row>
    <row r="82" customFormat="false" ht="15" hidden="false" customHeight="false" outlineLevel="0" collapsed="false">
      <c r="A82" s="35" t="s">
        <v>261</v>
      </c>
      <c r="B82" s="35" t="s">
        <v>301</v>
      </c>
      <c r="C82" s="35" t="s">
        <v>176</v>
      </c>
      <c r="D82" s="36" t="n">
        <f aca="false">0.75*0.6*vg_Fu*(b_ho-n_b*a_dn)*b_tw</f>
        <v>16725.5145</v>
      </c>
    </row>
    <row r="83" customFormat="false" ht="15" hidden="false" customHeight="false" outlineLevel="0" collapsed="false">
      <c r="A83" s="35" t="s">
        <v>261</v>
      </c>
      <c r="B83" s="35" t="s">
        <v>302</v>
      </c>
      <c r="C83" s="35" t="s">
        <v>176</v>
      </c>
      <c r="D83" s="36" t="n">
        <f aca="false">1*0.75*(MIN(0.6*vg_Fu*(((b_Lev)+(n_b-1)*a_s)*b_tw-(n_b-0.5)*a_dn*b_tw),0.6*vg_Fy*((b_Lev)+(n_b-1)*a_s)*b_tw)+vg_Fu*((b_Leh)-0.5*a_dn)*b_tw)</f>
        <v>16390.305</v>
      </c>
    </row>
    <row r="84" customFormat="false" ht="15" hidden="false" customHeight="false" outlineLevel="0" collapsed="false">
      <c r="A84" s="35" t="s">
        <v>303</v>
      </c>
      <c r="B84" s="35" t="s">
        <v>304</v>
      </c>
      <c r="C84" s="35" t="s">
        <v>60</v>
      </c>
      <c r="D84" s="39" t="n">
        <f aca="false">(b_bf*b_tf^2/2+b_tw*(b_ho-b_tf)*(b_tf+(b_ho-b_tf)/2))/(b_bf*b_tf+b_tw*(b_ho-b_tf))</f>
        <v>6.02755905511811</v>
      </c>
    </row>
    <row r="85" customFormat="false" ht="15" hidden="false" customHeight="false" outlineLevel="0" collapsed="false">
      <c r="A85" s="35" t="s">
        <v>305</v>
      </c>
      <c r="B85" s="35" t="s">
        <v>306</v>
      </c>
      <c r="C85" s="35" t="s">
        <v>307</v>
      </c>
      <c r="D85" s="36" t="n">
        <f aca="false">b_bf*b_tf^3/12+b_bf*b_tf*(v_yb-b_tf/2)^2+b_tw*(b_ho-b_tf)^3/12+b_tw*(b_ho-b_tf)*(b_tf+(b_ho-b_tf)/2-v_yb)^2</f>
        <v>1706.44737532808</v>
      </c>
    </row>
    <row r="86" customFormat="false" ht="15" hidden="false" customHeight="false" outlineLevel="0" collapsed="false">
      <c r="A86" s="35" t="s">
        <v>308</v>
      </c>
      <c r="B86" s="35" t="s">
        <v>309</v>
      </c>
      <c r="C86" s="35" t="s">
        <v>89</v>
      </c>
      <c r="D86" s="38" t="n">
        <f aca="false">IF(destaje="Destaje doble (sup. = inf.)",b_tw*b_ho^2/6,v_I/(b_ho-v_yb))</f>
        <v>81.3661785870722</v>
      </c>
    </row>
    <row r="87" customFormat="false" ht="15" hidden="false" customHeight="false" outlineLevel="0" collapsed="false">
      <c r="A87" s="35" t="s">
        <v>310</v>
      </c>
      <c r="B87" s="35" t="s">
        <v>311</v>
      </c>
      <c r="C87" s="35" t="s">
        <v>71</v>
      </c>
      <c r="D87" s="37" t="n">
        <f aca="false">IF(c_c/b_d&lt;=1,2*c_c/b_d,1+c_c/b_d)</f>
        <v>0.6</v>
      </c>
    </row>
    <row r="88" customFormat="false" ht="15" hidden="false" customHeight="false" outlineLevel="0" collapsed="false">
      <c r="A88" s="35" t="s">
        <v>193</v>
      </c>
      <c r="B88" s="35" t="s">
        <v>312</v>
      </c>
      <c r="C88" s="35" t="s">
        <v>71</v>
      </c>
      <c r="D88" s="37" t="n">
        <f aca="false">IF(c_c=0,0,IF(c_c/b_ho&lt;=1,2.2*(b_ho/c_c)^1.65,2.2*b_ho/c_c))</f>
        <v>13.4794679708393</v>
      </c>
    </row>
    <row r="89" customFormat="false" ht="15" hidden="false" customHeight="false" outlineLevel="0" collapsed="false">
      <c r="A89" s="35" t="s">
        <v>313</v>
      </c>
      <c r="B89" s="35" t="s">
        <v>314</v>
      </c>
      <c r="C89" s="35" t="s">
        <v>71</v>
      </c>
      <c r="D89" s="37" t="n">
        <f aca="false">3.5-7.5*c_top/b_d</f>
        <v>2.75</v>
      </c>
    </row>
    <row r="90" customFormat="false" ht="15" hidden="false" customHeight="false" outlineLevel="0" collapsed="false">
      <c r="A90" s="35" t="s">
        <v>315</v>
      </c>
      <c r="B90" s="35" t="s">
        <v>316</v>
      </c>
      <c r="C90" s="35" t="s">
        <v>54</v>
      </c>
      <c r="D90" s="36" t="n">
        <f aca="false">IF(c_c=0,vg_Fy,MIN(vg_Fy,IF(destaje="Destaje doble (sup. = inf.)",0.62*PI()*k_E*b_tw^2*v_fd/(c_c*b_ho),26210*70.307*(b_tw/b_ho)^2*v_f*v_k)))</f>
        <v>3271.01129491256</v>
      </c>
    </row>
    <row r="91" customFormat="false" ht="15" hidden="false" customHeight="false" outlineLevel="0" collapsed="false">
      <c r="A91" s="35" t="s">
        <v>273</v>
      </c>
      <c r="B91" s="35" t="s">
        <v>317</v>
      </c>
      <c r="C91" s="35" t="s">
        <v>275</v>
      </c>
      <c r="D91" s="36" t="n">
        <f aca="false">k_R*(c_c+setback/10)</f>
        <v>63000</v>
      </c>
    </row>
    <row r="92" customFormat="false" ht="15" hidden="false" customHeight="false" outlineLevel="0" collapsed="false">
      <c r="A92" s="35" t="s">
        <v>278</v>
      </c>
      <c r="B92" s="35" t="s">
        <v>318</v>
      </c>
      <c r="C92" s="35" t="s">
        <v>275</v>
      </c>
      <c r="D92" s="36" t="n">
        <f aca="false">0.9*v_Fcr*v_S</f>
        <v>239534.720263967</v>
      </c>
    </row>
  </sheetData>
  <mergeCells count="7">
    <mergeCell ref="A4:D4"/>
    <mergeCell ref="A43:D43"/>
    <mergeCell ref="A54:D54"/>
    <mergeCell ref="A58:D58"/>
    <mergeCell ref="A64:D64"/>
    <mergeCell ref="A76:D76"/>
    <mergeCell ref="A80:D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7" style="0" width="12"/>
    <col collapsed="false" customWidth="true" hidden="false" outlineLevel="0" max="11" min="11" style="0" width="20"/>
    <col collapsed="false" customWidth="true" hidden="false" outlineLevel="0" max="14" min="14" style="0" width="8"/>
    <col collapsed="false" customWidth="true" hidden="false" outlineLevel="0" max="18" min="18" style="0" width="10"/>
    <col collapsed="false" customWidth="true" hidden="false" outlineLevel="0" max="21" min="21" style="0" width="8"/>
    <col collapsed="false" customWidth="true" hidden="false" outlineLevel="0" max="23" min="23" style="0" width="26"/>
    <col collapsed="false" customWidth="true" hidden="false" outlineLevel="0" max="25" min="25" style="0" width="26"/>
    <col collapsed="false" customWidth="true" hidden="false" outlineLevel="0" max="27" min="27" style="0" width="24"/>
  </cols>
  <sheetData>
    <row r="1" customFormat="false" ht="15" hidden="false" customHeight="false" outlineLevel="0" collapsed="false">
      <c r="A1" s="40" t="s">
        <v>319</v>
      </c>
    </row>
    <row r="3" customFormat="false" ht="15" hidden="false" customHeight="false" outlineLevel="0" collapsed="false">
      <c r="A3" s="41" t="s">
        <v>320</v>
      </c>
      <c r="G3" s="41" t="s">
        <v>321</v>
      </c>
      <c r="K3" s="41" t="s">
        <v>322</v>
      </c>
      <c r="N3" s="41" t="s">
        <v>323</v>
      </c>
      <c r="R3" s="41" t="s">
        <v>146</v>
      </c>
      <c r="U3" s="41" t="s">
        <v>324</v>
      </c>
      <c r="W3" s="41" t="s">
        <v>325</v>
      </c>
      <c r="Y3" s="41" t="s">
        <v>63</v>
      </c>
      <c r="AA3" s="41" t="s">
        <v>326</v>
      </c>
      <c r="AC3" s="41" t="s">
        <v>327</v>
      </c>
    </row>
    <row r="4" customFormat="false" ht="15" hidden="false" customHeight="false" outlineLevel="0" collapsed="false">
      <c r="A4" s="42" t="s">
        <v>328</v>
      </c>
      <c r="B4" s="42" t="s">
        <v>177</v>
      </c>
      <c r="C4" s="42" t="s">
        <v>179</v>
      </c>
      <c r="D4" s="42" t="s">
        <v>181</v>
      </c>
      <c r="E4" s="42" t="s">
        <v>183</v>
      </c>
      <c r="G4" s="42" t="s">
        <v>50</v>
      </c>
      <c r="H4" s="42" t="s">
        <v>329</v>
      </c>
      <c r="I4" s="42" t="s">
        <v>330</v>
      </c>
      <c r="K4" s="42" t="s">
        <v>105</v>
      </c>
      <c r="L4" s="42" t="s">
        <v>215</v>
      </c>
      <c r="N4" s="42" t="s">
        <v>331</v>
      </c>
      <c r="O4" s="42" t="s">
        <v>332</v>
      </c>
      <c r="P4" s="42" t="s">
        <v>333</v>
      </c>
      <c r="R4" s="42" t="s">
        <v>146</v>
      </c>
      <c r="S4" s="42" t="s">
        <v>295</v>
      </c>
      <c r="U4" s="42" t="s">
        <v>334</v>
      </c>
      <c r="W4" s="42" t="s">
        <v>23</v>
      </c>
      <c r="Y4" s="42" t="s">
        <v>63</v>
      </c>
      <c r="AA4" s="42" t="s">
        <v>335</v>
      </c>
      <c r="AC4" s="42" t="s">
        <v>227</v>
      </c>
    </row>
    <row r="5" customFormat="false" ht="15" hidden="false" customHeight="false" outlineLevel="0" collapsed="false">
      <c r="A5" s="7" t="s">
        <v>336</v>
      </c>
      <c r="B5" s="7"/>
      <c r="C5" s="7"/>
      <c r="D5" s="7"/>
      <c r="E5" s="7"/>
      <c r="G5" s="7" t="s">
        <v>135</v>
      </c>
      <c r="H5" s="7" t="n">
        <v>2530</v>
      </c>
      <c r="I5" s="7" t="n">
        <v>4080</v>
      </c>
      <c r="K5" s="7" t="s">
        <v>106</v>
      </c>
      <c r="L5" s="7" t="n">
        <v>3797</v>
      </c>
      <c r="N5" s="7" t="s">
        <v>337</v>
      </c>
      <c r="O5" s="7" t="n">
        <v>0.625</v>
      </c>
      <c r="P5" s="7" t="n">
        <v>0.875</v>
      </c>
      <c r="R5" s="7" t="s">
        <v>338</v>
      </c>
      <c r="S5" s="7" t="n">
        <v>4220</v>
      </c>
      <c r="U5" s="7" t="s">
        <v>339</v>
      </c>
      <c r="W5" s="7" t="s">
        <v>24</v>
      </c>
      <c r="Y5" s="7" t="s">
        <v>340</v>
      </c>
      <c r="AA5" s="7" t="s">
        <v>129</v>
      </c>
      <c r="AC5" s="7" t="n">
        <v>5</v>
      </c>
    </row>
    <row r="6" customFormat="false" ht="15" hidden="false" customHeight="false" outlineLevel="0" collapsed="false">
      <c r="A6" s="7" t="s">
        <v>341</v>
      </c>
      <c r="B6" s="7" t="n">
        <v>180</v>
      </c>
      <c r="C6" s="7" t="n">
        <v>100</v>
      </c>
      <c r="D6" s="7" t="n">
        <v>4</v>
      </c>
      <c r="E6" s="7" t="n">
        <v>6</v>
      </c>
      <c r="G6" s="7" t="s">
        <v>51</v>
      </c>
      <c r="H6" s="7" t="n">
        <v>3515</v>
      </c>
      <c r="I6" s="7" t="n">
        <v>4570</v>
      </c>
      <c r="K6" s="7" t="s">
        <v>342</v>
      </c>
      <c r="L6" s="7" t="n">
        <v>4781</v>
      </c>
      <c r="N6" s="7" t="s">
        <v>110</v>
      </c>
      <c r="O6" s="7" t="n">
        <v>0.75</v>
      </c>
      <c r="P6" s="7" t="n">
        <v>1</v>
      </c>
      <c r="R6" s="7" t="s">
        <v>147</v>
      </c>
      <c r="S6" s="7" t="n">
        <v>4920</v>
      </c>
      <c r="U6" s="7" t="s">
        <v>343</v>
      </c>
      <c r="W6" s="7" t="s">
        <v>344</v>
      </c>
      <c r="Y6" s="7" t="s">
        <v>64</v>
      </c>
      <c r="AA6" s="7" t="s">
        <v>345</v>
      </c>
      <c r="AC6" s="7" t="n">
        <v>6</v>
      </c>
    </row>
    <row r="7" customFormat="false" ht="15" hidden="false" customHeight="false" outlineLevel="0" collapsed="false">
      <c r="A7" s="7" t="s">
        <v>346</v>
      </c>
      <c r="B7" s="7" t="n">
        <v>200</v>
      </c>
      <c r="C7" s="7" t="n">
        <v>100</v>
      </c>
      <c r="D7" s="7" t="n">
        <v>4</v>
      </c>
      <c r="E7" s="7" t="n">
        <v>8</v>
      </c>
      <c r="G7" s="7" t="s">
        <v>347</v>
      </c>
      <c r="H7" s="7" t="n">
        <v>3515</v>
      </c>
      <c r="I7" s="7" t="n">
        <v>4570</v>
      </c>
      <c r="K7" s="7" t="s">
        <v>348</v>
      </c>
      <c r="L7" s="7" t="n">
        <v>4781</v>
      </c>
      <c r="N7" s="7" t="s">
        <v>349</v>
      </c>
      <c r="O7" s="7" t="n">
        <v>0.875</v>
      </c>
      <c r="P7" s="7" t="n">
        <v>1.125</v>
      </c>
      <c r="W7" s="7" t="s">
        <v>350</v>
      </c>
      <c r="Y7" s="7" t="s">
        <v>351</v>
      </c>
      <c r="AC7" s="7" t="n">
        <v>8</v>
      </c>
    </row>
    <row r="8" customFormat="false" ht="15" hidden="false" customHeight="false" outlineLevel="0" collapsed="false">
      <c r="A8" s="7" t="s">
        <v>352</v>
      </c>
      <c r="B8" s="7" t="n">
        <v>220</v>
      </c>
      <c r="C8" s="7" t="n">
        <v>110</v>
      </c>
      <c r="D8" s="7" t="n">
        <v>4</v>
      </c>
      <c r="E8" s="7" t="n">
        <v>8</v>
      </c>
      <c r="G8" s="7" t="s">
        <v>353</v>
      </c>
      <c r="H8" s="7" t="n">
        <v>3515</v>
      </c>
      <c r="I8" s="7" t="n">
        <v>4920</v>
      </c>
      <c r="K8" s="7" t="s">
        <v>354</v>
      </c>
      <c r="L8" s="7" t="n">
        <v>5906</v>
      </c>
      <c r="N8" s="7" t="s">
        <v>355</v>
      </c>
      <c r="O8" s="7" t="n">
        <v>1</v>
      </c>
      <c r="P8" s="7" t="n">
        <v>1.25</v>
      </c>
      <c r="AC8" s="7" t="n">
        <v>10</v>
      </c>
    </row>
    <row r="9" customFormat="false" ht="15" hidden="false" customHeight="false" outlineLevel="0" collapsed="false">
      <c r="A9" s="7" t="s">
        <v>356</v>
      </c>
      <c r="B9" s="7" t="n">
        <v>250</v>
      </c>
      <c r="C9" s="7" t="n">
        <v>130</v>
      </c>
      <c r="D9" s="7" t="n">
        <v>4</v>
      </c>
      <c r="E9" s="7" t="n">
        <v>8</v>
      </c>
      <c r="K9" s="7" t="s">
        <v>357</v>
      </c>
      <c r="L9" s="7" t="n">
        <v>1906</v>
      </c>
      <c r="N9" s="7" t="s">
        <v>358</v>
      </c>
      <c r="O9" s="7" t="n">
        <v>1.125</v>
      </c>
      <c r="P9" s="7" t="n">
        <v>1.5</v>
      </c>
      <c r="AC9" s="7" t="n">
        <v>12</v>
      </c>
    </row>
    <row r="10" customFormat="false" ht="15" hidden="false" customHeight="false" outlineLevel="0" collapsed="false">
      <c r="A10" s="7" t="s">
        <v>359</v>
      </c>
      <c r="B10" s="7" t="n">
        <v>270</v>
      </c>
      <c r="C10" s="7" t="n">
        <v>140</v>
      </c>
      <c r="D10" s="7" t="n">
        <v>4</v>
      </c>
      <c r="E10" s="7" t="n">
        <v>8</v>
      </c>
      <c r="AC10" s="7" t="n">
        <v>15</v>
      </c>
    </row>
    <row r="11" customFormat="false" ht="15" hidden="false" customHeight="false" outlineLevel="0" collapsed="false">
      <c r="A11" s="7" t="s">
        <v>36</v>
      </c>
      <c r="B11" s="7" t="n">
        <v>300</v>
      </c>
      <c r="C11" s="7" t="n">
        <v>150</v>
      </c>
      <c r="D11" s="7" t="n">
        <v>4</v>
      </c>
      <c r="E11" s="7" t="n">
        <v>10</v>
      </c>
      <c r="AC11" s="7" t="n">
        <v>16</v>
      </c>
    </row>
    <row r="12" customFormat="false" ht="15" hidden="false" customHeight="false" outlineLevel="0" collapsed="false">
      <c r="A12" s="7" t="s">
        <v>360</v>
      </c>
      <c r="B12" s="7" t="n">
        <v>330</v>
      </c>
      <c r="C12" s="7" t="n">
        <v>160</v>
      </c>
      <c r="D12" s="7" t="n">
        <v>6</v>
      </c>
      <c r="E12" s="7" t="n">
        <v>10</v>
      </c>
      <c r="AC12" s="7" t="n">
        <v>19</v>
      </c>
    </row>
    <row r="13" customFormat="false" ht="15" hidden="false" customHeight="false" outlineLevel="0" collapsed="false">
      <c r="A13" s="7" t="s">
        <v>361</v>
      </c>
      <c r="B13" s="7" t="n">
        <v>360</v>
      </c>
      <c r="C13" s="7" t="n">
        <v>180</v>
      </c>
      <c r="D13" s="7" t="n">
        <v>6</v>
      </c>
      <c r="E13" s="7" t="n">
        <v>10</v>
      </c>
      <c r="AC13" s="7" t="n">
        <v>20</v>
      </c>
    </row>
    <row r="14" customFormat="false" ht="15" hidden="false" customHeight="false" outlineLevel="0" collapsed="false">
      <c r="A14" s="7" t="s">
        <v>362</v>
      </c>
      <c r="B14" s="7" t="n">
        <v>380</v>
      </c>
      <c r="C14" s="7" t="n">
        <v>180</v>
      </c>
      <c r="D14" s="7" t="n">
        <v>6</v>
      </c>
      <c r="E14" s="7" t="n">
        <v>10</v>
      </c>
      <c r="AC14" s="7" t="n">
        <v>22</v>
      </c>
    </row>
    <row r="15" customFormat="false" ht="15" hidden="false" customHeight="false" outlineLevel="0" collapsed="false">
      <c r="A15" s="7" t="s">
        <v>363</v>
      </c>
      <c r="B15" s="7" t="n">
        <v>400</v>
      </c>
      <c r="C15" s="7" t="n">
        <v>180</v>
      </c>
      <c r="D15" s="7" t="n">
        <v>6</v>
      </c>
      <c r="E15" s="7" t="n">
        <v>10</v>
      </c>
      <c r="AC15" s="7" t="n">
        <v>25</v>
      </c>
    </row>
    <row r="16" customFormat="false" ht="15" hidden="false" customHeight="false" outlineLevel="0" collapsed="false">
      <c r="A16" s="7" t="s">
        <v>84</v>
      </c>
      <c r="B16" s="7" t="n">
        <v>400</v>
      </c>
      <c r="C16" s="7" t="n">
        <v>180</v>
      </c>
      <c r="D16" s="7" t="n">
        <v>6</v>
      </c>
      <c r="E16" s="7" t="n">
        <v>12</v>
      </c>
    </row>
    <row r="17" customFormat="false" ht="15" hidden="false" customHeight="false" outlineLevel="0" collapsed="false">
      <c r="A17" s="7" t="s">
        <v>364</v>
      </c>
      <c r="B17" s="7" t="n">
        <v>420</v>
      </c>
      <c r="C17" s="7" t="n">
        <v>180</v>
      </c>
      <c r="D17" s="7" t="n">
        <v>6</v>
      </c>
      <c r="E17" s="7" t="n">
        <v>12</v>
      </c>
    </row>
    <row r="18" customFormat="false" ht="15" hidden="false" customHeight="false" outlineLevel="0" collapsed="false">
      <c r="A18" s="7" t="s">
        <v>365</v>
      </c>
      <c r="B18" s="7" t="n">
        <v>440</v>
      </c>
      <c r="C18" s="7" t="n">
        <v>180</v>
      </c>
      <c r="D18" s="7" t="n">
        <v>6</v>
      </c>
      <c r="E18" s="7" t="n">
        <v>12</v>
      </c>
    </row>
    <row r="19" customFormat="false" ht="15" hidden="false" customHeight="false" outlineLevel="0" collapsed="false">
      <c r="A19" s="7" t="s">
        <v>366</v>
      </c>
      <c r="B19" s="7" t="n">
        <v>207</v>
      </c>
      <c r="C19" s="7" t="n">
        <v>133</v>
      </c>
      <c r="D19" s="7" t="n">
        <v>5.8</v>
      </c>
      <c r="E19" s="7" t="n">
        <v>8.4</v>
      </c>
    </row>
    <row r="20" customFormat="false" ht="15" hidden="false" customHeight="false" outlineLevel="0" collapsed="false">
      <c r="A20" s="7" t="s">
        <v>367</v>
      </c>
      <c r="B20" s="7" t="n">
        <v>259</v>
      </c>
      <c r="C20" s="7" t="n">
        <v>146</v>
      </c>
      <c r="D20" s="7" t="n">
        <v>6.1</v>
      </c>
      <c r="E20" s="7" t="n">
        <v>9.1</v>
      </c>
    </row>
    <row r="21" customFormat="false" ht="15" hidden="false" customHeight="false" outlineLevel="0" collapsed="false">
      <c r="A21" s="7" t="s">
        <v>368</v>
      </c>
      <c r="B21" s="7" t="n">
        <v>310</v>
      </c>
      <c r="C21" s="7" t="n">
        <v>165</v>
      </c>
      <c r="D21" s="7" t="n">
        <v>5.8</v>
      </c>
      <c r="E21" s="7" t="n">
        <v>9.7</v>
      </c>
    </row>
    <row r="22" customFormat="false" ht="15" hidden="false" customHeight="false" outlineLevel="0" collapsed="false">
      <c r="A22" s="7" t="s">
        <v>369</v>
      </c>
      <c r="B22" s="7" t="n">
        <v>351</v>
      </c>
      <c r="C22" s="7" t="n">
        <v>171</v>
      </c>
      <c r="D22" s="7" t="n">
        <v>6.9</v>
      </c>
      <c r="E22" s="7" t="n">
        <v>9.8</v>
      </c>
    </row>
    <row r="23" customFormat="false" ht="15" hidden="false" customHeight="false" outlineLevel="0" collapsed="false">
      <c r="A23" s="7" t="s">
        <v>370</v>
      </c>
      <c r="B23" s="7" t="n">
        <v>403</v>
      </c>
      <c r="C23" s="7" t="n">
        <v>140</v>
      </c>
      <c r="D23" s="7" t="n">
        <v>7</v>
      </c>
      <c r="E23" s="7" t="n">
        <v>11.2</v>
      </c>
    </row>
    <row r="24" customFormat="false" ht="15" hidden="false" customHeight="false" outlineLevel="0" collapsed="false">
      <c r="A24" s="7" t="s">
        <v>371</v>
      </c>
      <c r="B24" s="7" t="n">
        <v>450</v>
      </c>
      <c r="C24" s="7" t="n">
        <v>152</v>
      </c>
      <c r="D24" s="7" t="n">
        <v>7.6</v>
      </c>
      <c r="E24" s="7" t="n">
        <v>10.8</v>
      </c>
    </row>
    <row r="25" customFormat="false" ht="15" hidden="false" customHeight="false" outlineLevel="0" collapsed="false">
      <c r="A25" s="7" t="s">
        <v>372</v>
      </c>
      <c r="B25" s="7" t="n">
        <v>457</v>
      </c>
      <c r="C25" s="7" t="n">
        <v>190</v>
      </c>
      <c r="D25" s="7" t="n">
        <v>9</v>
      </c>
      <c r="E25" s="7" t="n">
        <v>14.5</v>
      </c>
    </row>
    <row r="26" customFormat="false" ht="15" hidden="false" customHeight="false" outlineLevel="0" collapsed="false">
      <c r="A26" s="7" t="s">
        <v>373</v>
      </c>
      <c r="B26" s="7" t="n">
        <v>525</v>
      </c>
      <c r="C26" s="7" t="n">
        <v>165</v>
      </c>
      <c r="D26" s="7" t="n">
        <v>8.9</v>
      </c>
      <c r="E26" s="7" t="n">
        <v>11.4</v>
      </c>
    </row>
    <row r="27" customFormat="false" ht="15" hidden="false" customHeight="false" outlineLevel="0" collapsed="false">
      <c r="A27" s="7" t="s">
        <v>374</v>
      </c>
      <c r="B27" s="7" t="n">
        <v>533</v>
      </c>
      <c r="C27" s="7" t="n">
        <v>209</v>
      </c>
      <c r="D27" s="7" t="n">
        <v>10.2</v>
      </c>
      <c r="E27" s="7" t="n">
        <v>15.6</v>
      </c>
    </row>
    <row r="28" customFormat="false" ht="15" hidden="false" customHeight="false" outlineLevel="0" collapsed="false">
      <c r="A28" s="7" t="s">
        <v>375</v>
      </c>
      <c r="B28" s="7" t="n">
        <v>599</v>
      </c>
      <c r="C28" s="7" t="n">
        <v>178</v>
      </c>
      <c r="D28" s="7" t="n">
        <v>10</v>
      </c>
      <c r="E28" s="7" t="n">
        <v>12.8</v>
      </c>
    </row>
    <row r="29" customFormat="false" ht="15" hidden="false" customHeight="false" outlineLevel="0" collapsed="false">
      <c r="A29" s="7" t="s">
        <v>376</v>
      </c>
      <c r="B29" s="7" t="n">
        <v>608</v>
      </c>
      <c r="C29" s="7" t="n">
        <v>228</v>
      </c>
      <c r="D29" s="7" t="n">
        <v>11.2</v>
      </c>
      <c r="E29" s="7" t="n">
        <v>17.3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3" t="s">
        <v>377</v>
      </c>
    </row>
    <row r="2" customFormat="false" ht="15" hidden="false" customHeight="false" outlineLevel="0" collapsed="false">
      <c r="D2" s="44" t="s">
        <v>378</v>
      </c>
      <c r="G2" s="44" t="s">
        <v>379</v>
      </c>
      <c r="J2" s="44" t="s">
        <v>380</v>
      </c>
      <c r="M2" s="44" t="s">
        <v>381</v>
      </c>
      <c r="P2" s="44" t="s">
        <v>382</v>
      </c>
      <c r="S2" s="44" t="s">
        <v>383</v>
      </c>
      <c r="V2" s="44" t="s">
        <v>384</v>
      </c>
      <c r="Y2" s="44" t="s">
        <v>385</v>
      </c>
      <c r="AB2" s="44" t="s">
        <v>386</v>
      </c>
      <c r="AE2" s="44" t="s">
        <v>387</v>
      </c>
      <c r="AH2" s="44" t="s">
        <v>388</v>
      </c>
      <c r="AK2" s="44" t="s">
        <v>389</v>
      </c>
      <c r="AN2" s="44" t="s">
        <v>390</v>
      </c>
      <c r="AQ2" s="44" t="s">
        <v>391</v>
      </c>
      <c r="AT2" s="44" t="s">
        <v>392</v>
      </c>
      <c r="AW2" s="44" t="s">
        <v>393</v>
      </c>
      <c r="AZ2" s="44" t="s">
        <v>394</v>
      </c>
      <c r="BC2" s="44" t="s">
        <v>395</v>
      </c>
    </row>
    <row r="3" customFormat="false" ht="15" hidden="false" customHeight="false" outlineLevel="0" collapsed="false">
      <c r="A3" s="0" t="s">
        <v>396</v>
      </c>
      <c r="B3" s="0" t="n">
        <f aca="false">g_tw/2+setback/10</f>
        <v>1.8</v>
      </c>
    </row>
    <row r="4" customFormat="false" ht="15" hidden="false" customHeight="false" outlineLevel="0" collapsed="false">
      <c r="A4" s="0" t="s">
        <v>397</v>
      </c>
      <c r="B4" s="0" t="n">
        <f aca="false">dxe+MAX(c_c+0.9*b_d,e_xb+e_Leh+0.6*b_d)</f>
        <v>37.8</v>
      </c>
      <c r="D4" s="0" t="n">
        <f aca="false">((-g_bf/2)-dxc)/dSe</f>
        <v>-0.943396226415094</v>
      </c>
      <c r="E4" s="0" t="n">
        <f aca="false">((0)+dH/2)/dSe</f>
        <v>0.806321561038542</v>
      </c>
      <c r="G4" s="0" t="n">
        <f aca="false">((dxf)-dxc)/dSe</f>
        <v>0.943396226415094</v>
      </c>
      <c r="H4" s="0" t="n">
        <f aca="false">((0)+dH/2)/dSe</f>
        <v>0.806321561038542</v>
      </c>
      <c r="J4" s="0" t="n">
        <f aca="false">((dxe+c_c)-dxc)/dSe</f>
        <v>-0.145137880986938</v>
      </c>
      <c r="K4" s="0" t="n">
        <f aca="false">((-b_tf)+dH/2)/dSe</f>
        <v>0.766005482986615</v>
      </c>
      <c r="M4" s="0" t="n">
        <f aca="false">((dxe+IF(c_bot&gt;0,c_c,0))-dxc)/dSe</f>
        <v>-0.507982583454282</v>
      </c>
      <c r="N4" s="0" t="n">
        <f aca="false">((-b_d+b_tf)+dH/2)/dSe</f>
        <v>-0.362844702467344</v>
      </c>
      <c r="P4" s="0" t="n">
        <f aca="false">((g_tw/2)-dxc)/dSe</f>
        <v>-0.568456700532172</v>
      </c>
      <c r="Q4" s="0" t="n">
        <f aca="false">((-e_top)+dH/2)/dSe</f>
        <v>0.665215287856797</v>
      </c>
      <c r="S4" s="0" t="n">
        <f aca="false">((g_tw/2+e_xb)-dxc)/dSe</f>
        <v>-0.306402193194646</v>
      </c>
      <c r="T4" s="0" t="n">
        <f aca="false">((-pn_top/10-a_s*MIN(0,n_b-1))+dH/2)/dSe</f>
        <v>0.524109014675052</v>
      </c>
      <c r="V4" s="0" t="n">
        <f aca="false">((-g_tw/2)-dxc)/dSp</f>
        <v>-0.592646347363329</v>
      </c>
      <c r="W4" s="0" t="n">
        <f aca="false">(-dZw)/dSp</f>
        <v>-0.483792936623125</v>
      </c>
      <c r="Y4" s="0" t="n">
        <f aca="false">((-g_bf/2)-dxc)/dSp</f>
        <v>-0.943396226415094</v>
      </c>
      <c r="Z4" s="0" t="n">
        <f aca="false">(-dZw)/dSp</f>
        <v>-0.483792936623125</v>
      </c>
      <c r="AB4" s="0" t="n">
        <f aca="false">((g_bf/2)-dxc)/dSp</f>
        <v>-0.217706821480406</v>
      </c>
      <c r="AC4" s="0" t="n">
        <f aca="false">(-dZw)/dSp</f>
        <v>-0.483792936623125</v>
      </c>
      <c r="AE4" s="0" t="n">
        <f aca="false">((dxf)-dxc)/dSp</f>
        <v>0.943396226415094</v>
      </c>
      <c r="AF4" s="0" t="n">
        <f aca="false">(b_tw/2)/dSp</f>
        <v>0.00806321561038542</v>
      </c>
      <c r="AH4" s="0" t="n">
        <f aca="false">((dxf)-dxc)/dSp</f>
        <v>0.943396226415094</v>
      </c>
      <c r="AI4" s="0" t="n">
        <f aca="false">(b_bf/2)/dSp</f>
        <v>0.302370585389453</v>
      </c>
      <c r="AK4" s="0" t="n">
        <f aca="false">((g_tw/2)-dxc)/dSp</f>
        <v>-0.568456700532172</v>
      </c>
      <c r="AL4" s="0" t="n">
        <f aca="false">(b_tw/2)/dSp</f>
        <v>0.00806321561038542</v>
      </c>
      <c r="AN4" s="0" t="n">
        <f aca="false">((g_tw/2)-dxc)/dSp</f>
        <v>-0.568456700532172</v>
      </c>
      <c r="AO4" s="0" t="n">
        <f aca="false">((b_tw/2))/dSp</f>
        <v>0.00806321561038542</v>
      </c>
      <c r="AQ4" s="0" t="n">
        <f aca="false">((g_tw/2)-dxc)/dSp</f>
        <v>-0.568456700532172</v>
      </c>
      <c r="AR4" s="0" t="n">
        <f aca="false">(-(b_tw/2))/dSp</f>
        <v>-0.00806321561038542</v>
      </c>
      <c r="AT4" s="0" t="n">
        <f aca="false">((g_tw/2+e_xb)-dxc)/dSp</f>
        <v>-0.306402193194646</v>
      </c>
      <c r="AU4" s="0" t="n">
        <f aca="false">(-b_tw/2-IF(t_da=1,an_t/10,0)-0.8)/dSp</f>
        <v>-0.0403160780519271</v>
      </c>
      <c r="AW4" s="0" t="n">
        <f aca="false">((-g_tw/2-0.8)-dxc)/dSp</f>
        <v>-0.62489920980487</v>
      </c>
      <c r="AX4" s="0" t="n">
        <f aca="false">((b_tw/2+IF(t_da=1,an_gs/10,0)))/dSp</f>
        <v>0.00806321561038542</v>
      </c>
      <c r="AZ4" s="0" t="n">
        <f aca="false">((-g_tw/2-0.8)-dxc)/dSp</f>
        <v>-0.62489920980487</v>
      </c>
      <c r="BA4" s="0" t="n">
        <f aca="false">(-(b_tw/2+IF(t_da=1,an_gs/10,0)))/dSp</f>
        <v>-0.00806321561038542</v>
      </c>
      <c r="BC4" s="0" t="n">
        <f aca="false">((g_tw/2)-dxc)/dSp</f>
        <v>-0.568456700532172</v>
      </c>
      <c r="BD4" s="0" t="n">
        <f aca="false">(b_tw/2)/dSp</f>
        <v>0.00806321561038542</v>
      </c>
    </row>
    <row r="5" customFormat="false" ht="15" hidden="false" customHeight="false" outlineLevel="0" collapsed="false">
      <c r="A5" s="0" t="s">
        <v>398</v>
      </c>
      <c r="B5" s="0" t="n">
        <f aca="false">(-g_bf/2+dxf)/2</f>
        <v>14.4</v>
      </c>
      <c r="D5" s="0" t="n">
        <f aca="false">((g_bf/2)-dxc)/dSe</f>
        <v>-0.217706821480406</v>
      </c>
      <c r="E5" s="0" t="n">
        <f aca="false">((0)+dH/2)/dSe</f>
        <v>0.806321561038542</v>
      </c>
      <c r="G5" s="0" t="n">
        <f aca="false">((dxe+c_c)-dxc)/dSe</f>
        <v>-0.145137880986938</v>
      </c>
      <c r="H5" s="0" t="n">
        <f aca="false">((0)+dH/2)/dSe</f>
        <v>0.806321561038542</v>
      </c>
      <c r="J5" s="0" t="n">
        <f aca="false">((dxf)-dxc)/dSe</f>
        <v>0.943396226415094</v>
      </c>
      <c r="K5" s="0" t="n">
        <f aca="false">((-b_tf)+dH/2)/dSe</f>
        <v>0.766005482986615</v>
      </c>
      <c r="M5" s="0" t="n">
        <f aca="false">((dxf)-dxc)/dSe</f>
        <v>0.943396226415094</v>
      </c>
      <c r="N5" s="0" t="n">
        <f aca="false">((-b_d+b_tf)+dH/2)/dSe</f>
        <v>-0.362844702467344</v>
      </c>
      <c r="P5" s="0" t="n">
        <f aca="false">((g_tw/2)-dxc)/dSe</f>
        <v>-0.568456700532172</v>
      </c>
      <c r="Q5" s="0" t="n">
        <f aca="false">((-e_top-e_L)+dH/2)/dSe</f>
        <v>-0.221738429285599</v>
      </c>
      <c r="S5" s="0" t="n">
        <f aca="false">((g_tw/2+e_xb)-dxc)/dSe</f>
        <v>-0.306402193194646</v>
      </c>
      <c r="T5" s="0" t="n">
        <f aca="false">((-pn_top/10-a_s*MIN(1,n_b-1))+dH/2)/dSe</f>
        <v>0.221738429285599</v>
      </c>
      <c r="V5" s="0" t="n">
        <f aca="false">((-g_tw/2)-dxc)/dSp</f>
        <v>-0.592646347363329</v>
      </c>
      <c r="W5" s="0" t="n">
        <f aca="false">(dZw)/dSp</f>
        <v>0.483792936623125</v>
      </c>
      <c r="Y5" s="0" t="n">
        <f aca="false">((-g_bf/2)-dxc)/dSp</f>
        <v>-0.943396226415094</v>
      </c>
      <c r="Z5" s="0" t="n">
        <f aca="false">(dZw)/dSp</f>
        <v>0.483792936623125</v>
      </c>
      <c r="AB5" s="0" t="n">
        <f aca="false">((g_bf/2)-dxc)/dSp</f>
        <v>-0.217706821480406</v>
      </c>
      <c r="AC5" s="0" t="n">
        <f aca="false">(dZw)/dSp</f>
        <v>0.483792936623125</v>
      </c>
      <c r="AE5" s="0" t="n">
        <f aca="false">((dxe)-dxc)/dSp</f>
        <v>-0.507982583454282</v>
      </c>
      <c r="AF5" s="0" t="n">
        <f aca="false">(b_tw/2)/dSp</f>
        <v>0.00806321561038542</v>
      </c>
      <c r="AH5" s="0" t="n">
        <f aca="false">((dxe+c_c)-dxc)/dSp</f>
        <v>-0.145137880986938</v>
      </c>
      <c r="AI5" s="0" t="n">
        <f aca="false">(b_bf/2)/dSp</f>
        <v>0.302370585389453</v>
      </c>
      <c r="AK5" s="0" t="n">
        <f aca="false">((g_tw/2)-dxc)/dSp</f>
        <v>-0.568456700532172</v>
      </c>
      <c r="AL5" s="0" t="n">
        <f aca="false">(b_tw/2+IF(t_pl=1,pl_tp/10,0))/dSp</f>
        <v>0.0403160780519271</v>
      </c>
      <c r="AN5" s="0" t="n">
        <f aca="false">((g_tw/2+IF(t_da=1,an_lb/10,0))-dxc)/dSp</f>
        <v>-0.568456700532172</v>
      </c>
      <c r="AO5" s="0" t="n">
        <f aca="false">((b_tw/2))/dSp</f>
        <v>0.00806321561038542</v>
      </c>
      <c r="AQ5" s="0" t="n">
        <f aca="false">((g_tw/2+IF(t_da=1,an_lb/10,0))-dxc)/dSp</f>
        <v>-0.568456700532172</v>
      </c>
      <c r="AR5" s="0" t="n">
        <f aca="false">(-(b_tw/2))/dSp</f>
        <v>-0.00806321561038542</v>
      </c>
      <c r="AT5" s="0" t="n">
        <f aca="false">((g_tw/2+e_xb)-dxc)/dSp</f>
        <v>-0.306402193194646</v>
      </c>
      <c r="AU5" s="0" t="n">
        <f aca="false">(b_tw/2+IF(t_pl=1,IF(t_pl=1,pl_tp/10,0),IF(t_da=1,an_t/10,0))+0.8)/dSp</f>
        <v>0.0725689404934688</v>
      </c>
      <c r="AW5" s="0" t="n">
        <f aca="false">((g_tw/2+IF(t_da=1,an_t/10,0)+0.8)-dxc)/dSp</f>
        <v>-0.536203838090631</v>
      </c>
      <c r="AX5" s="0" t="n">
        <f aca="false">((b_tw/2+IF(t_da=1,an_gs/10,0)))/dSp</f>
        <v>0.00806321561038542</v>
      </c>
      <c r="AZ5" s="0" t="n">
        <f aca="false">((g_tw/2+IF(t_da=1,an_t/10,0)+0.8)-dxc)/dSp</f>
        <v>-0.536203838090631</v>
      </c>
      <c r="BA5" s="0" t="n">
        <f aca="false">(-(b_tw/2+IF(t_da=1,an_gs/10,0)))/dSp</f>
        <v>-0.00806321561038542</v>
      </c>
      <c r="BC5" s="0" t="n">
        <f aca="false">((g_tw/2)-dxc)/dSp</f>
        <v>-0.568456700532172</v>
      </c>
      <c r="BD5" s="0" t="n">
        <f aca="false">(b_tw/2+IF(t_pl=1,pl_tp/10,0))/dSp</f>
        <v>0.0403160780519271</v>
      </c>
    </row>
    <row r="6" customFormat="false" ht="15" hidden="false" customHeight="false" outlineLevel="0" collapsed="false">
      <c r="A6" s="0" t="s">
        <v>399</v>
      </c>
      <c r="B6" s="0" t="n">
        <f aca="false">MAX(g_d,b_d)</f>
        <v>40</v>
      </c>
      <c r="D6" s="0" t="n">
        <f aca="false">((g_bf/2)-dxc)/dSe</f>
        <v>-0.217706821480406</v>
      </c>
      <c r="E6" s="0" t="n">
        <f aca="false">((-g_tf)+dH/2)/dSe</f>
        <v>0.75794226737623</v>
      </c>
      <c r="G6" s="0" t="n">
        <f aca="false">((dxe+c_c)-dxc)/dSe</f>
        <v>-0.145137880986938</v>
      </c>
      <c r="H6" s="0" t="n">
        <f aca="false">((-c_top)+dH/2)/dSe</f>
        <v>0.685373326882761</v>
      </c>
      <c r="P6" s="0" t="n">
        <f aca="false">((g_tw/2+dWe)-dxc)/dSe</f>
        <v>-0.124979841960974</v>
      </c>
      <c r="Q6" s="0" t="n">
        <f aca="false">((-e_top-e_L)+dH/2)/dSe</f>
        <v>-0.221738429285599</v>
      </c>
      <c r="S6" s="0" t="n">
        <f aca="false">((g_tw/2+e_xb)-dxc)/dSe</f>
        <v>-0.306402193194646</v>
      </c>
      <c r="T6" s="0" t="n">
        <f aca="false">((-pn_top/10-a_s*MIN(2,n_b-1))+dH/2)/dSe</f>
        <v>-0.0806321561038542</v>
      </c>
      <c r="V6" s="0" t="n">
        <f aca="false">((g_tw/2)-dxc)/dSp</f>
        <v>-0.568456700532172</v>
      </c>
      <c r="W6" s="0" t="n">
        <f aca="false">(dZw)/dSp</f>
        <v>0.483792936623125</v>
      </c>
      <c r="AE6" s="0" t="n">
        <f aca="false">((dxe)-dxc)/dSp</f>
        <v>-0.507982583454282</v>
      </c>
      <c r="AF6" s="0" t="n">
        <f aca="false">(-b_tw/2)/dSp</f>
        <v>-0.00806321561038542</v>
      </c>
      <c r="AH6" s="0" t="n">
        <f aca="false">((dxe+c_c)-dxc)/dSp</f>
        <v>-0.145137880986938</v>
      </c>
      <c r="AI6" s="0" t="n">
        <f aca="false">(-b_bf/2)/dSp</f>
        <v>-0.302370585389453</v>
      </c>
      <c r="AK6" s="0" t="n">
        <f aca="false">((g_tw/2+IF(t_pl=1,dWe,0))-dxc)/dSp</f>
        <v>-0.124979841960974</v>
      </c>
      <c r="AL6" s="0" t="n">
        <f aca="false">(b_tw/2+IF(t_pl=1,pl_tp/10,0))/dSp</f>
        <v>0.0403160780519271</v>
      </c>
      <c r="AN6" s="0" t="n">
        <f aca="false">((g_tw/2+IF(t_da=1,an_lb/10,0))-dxc)/dSp</f>
        <v>-0.568456700532172</v>
      </c>
      <c r="AO6" s="0" t="n">
        <f aca="false">((b_tw/2+IF(t_da=1,an_t/10,0)))/dSp</f>
        <v>0.00806321561038542</v>
      </c>
      <c r="AQ6" s="0" t="n">
        <f aca="false">((g_tw/2+IF(t_da=1,an_lb/10,0))-dxc)/dSp</f>
        <v>-0.568456700532172</v>
      </c>
      <c r="AR6" s="0" t="n">
        <f aca="false">(-(b_tw/2+IF(t_da=1,an_t/10,0)))/dSp</f>
        <v>-0.00806321561038542</v>
      </c>
    </row>
    <row r="7" customFormat="false" ht="15" hidden="false" customHeight="false" outlineLevel="0" collapsed="false">
      <c r="A7" s="0" t="s">
        <v>400</v>
      </c>
      <c r="B7" s="0" t="n">
        <f aca="false">MAX(dxf+g_bf/2,dH)/2*1.06</f>
        <v>24.804</v>
      </c>
      <c r="D7" s="0" t="n">
        <f aca="false">((g_tw/2)-dxc)/dSe</f>
        <v>-0.568456700532172</v>
      </c>
      <c r="E7" s="0" t="n">
        <f aca="false">((-g_tf)+dH/2)/dSe</f>
        <v>0.75794226737623</v>
      </c>
      <c r="G7" s="0" t="n">
        <f aca="false">((dxe)-dxc)/dSe</f>
        <v>-0.507982583454282</v>
      </c>
      <c r="H7" s="0" t="n">
        <f aca="false">((-c_top)+dH/2)/dSe</f>
        <v>0.685373326882761</v>
      </c>
      <c r="P7" s="0" t="n">
        <f aca="false">((g_tw/2+dWe)-dxc)/dSe</f>
        <v>-0.124979841960974</v>
      </c>
      <c r="Q7" s="0" t="n">
        <f aca="false">((-e_top)+dH/2)/dSe</f>
        <v>0.665215287856797</v>
      </c>
      <c r="S7" s="0" t="n">
        <f aca="false">((g_tw/2+e_xb)-dxc)/dSe</f>
        <v>-0.306402193194646</v>
      </c>
      <c r="T7" s="0" t="n">
        <f aca="false">((-pn_top/10-a_s*MIN(3,n_b-1))+dH/2)/dSe</f>
        <v>-0.0806321561038542</v>
      </c>
      <c r="V7" s="0" t="n">
        <f aca="false">((g_tw/2)-dxc)/dSp</f>
        <v>-0.568456700532172</v>
      </c>
      <c r="W7" s="0" t="n">
        <f aca="false">(-dZw)/dSp</f>
        <v>-0.483792936623125</v>
      </c>
      <c r="AE7" s="0" t="n">
        <f aca="false">((dxf)-dxc)/dSp</f>
        <v>0.943396226415094</v>
      </c>
      <c r="AF7" s="0" t="n">
        <f aca="false">(-b_tw/2)/dSp</f>
        <v>-0.00806321561038542</v>
      </c>
      <c r="AH7" s="0" t="n">
        <f aca="false">((dxf)-dxc)/dSp</f>
        <v>0.943396226415094</v>
      </c>
      <c r="AI7" s="0" t="n">
        <f aca="false">(-b_bf/2)/dSp</f>
        <v>-0.302370585389453</v>
      </c>
      <c r="AK7" s="0" t="n">
        <f aca="false">((g_tw/2+IF(t_pl=1,dWe,0))-dxc)/dSp</f>
        <v>-0.124979841960974</v>
      </c>
      <c r="AL7" s="0" t="n">
        <f aca="false">(b_tw/2)/dSp</f>
        <v>0.00806321561038542</v>
      </c>
      <c r="AN7" s="0" t="n">
        <f aca="false">((g_tw/2+IF(t_da=1,an_t/10,0))-dxc)/dSp</f>
        <v>-0.568456700532172</v>
      </c>
      <c r="AO7" s="0" t="n">
        <f aca="false">((b_tw/2+IF(t_da=1,an_t/10,0)))/dSp</f>
        <v>0.00806321561038542</v>
      </c>
      <c r="AQ7" s="0" t="n">
        <f aca="false">((g_tw/2+IF(t_da=1,an_t/10,0))-dxc)/dSp</f>
        <v>-0.568456700532172</v>
      </c>
      <c r="AR7" s="0" t="n">
        <f aca="false">(-(b_tw/2+IF(t_da=1,an_t/10,0)))/dSp</f>
        <v>-0.00806321561038542</v>
      </c>
    </row>
    <row r="8" customFormat="false" ht="15" hidden="false" customHeight="false" outlineLevel="0" collapsed="false">
      <c r="A8" s="0" t="s">
        <v>401</v>
      </c>
      <c r="B8" s="0" t="n">
        <f aca="false">MAX(b_bf/2,IF(t_da=1,an_ls/10+b_tw/2,0),g_bf/2)+3</f>
        <v>12</v>
      </c>
      <c r="D8" s="0" t="n">
        <f aca="false">((g_tw/2)-dxc)/dSe</f>
        <v>-0.568456700532172</v>
      </c>
      <c r="E8" s="0" t="n">
        <f aca="false">((-g_d+g_tf)+dH/2)/dSe</f>
        <v>-0.75794226737623</v>
      </c>
      <c r="G8" s="0" t="n">
        <f aca="false">((dxe)-dxc)/dSe</f>
        <v>-0.507982583454282</v>
      </c>
      <c r="H8" s="0" t="n">
        <f aca="false">((-b_d+c_bot)+dH/2)/dSe</f>
        <v>-0.403160780519271</v>
      </c>
      <c r="P8" s="0" t="n">
        <f aca="false">((g_tw/2)-dxc)/dSe</f>
        <v>-0.568456700532172</v>
      </c>
      <c r="Q8" s="0" t="n">
        <f aca="false">((-e_top)+dH/2)/dSe</f>
        <v>0.665215287856797</v>
      </c>
      <c r="S8" s="0" t="n">
        <f aca="false">((g_tw/2+e_xb)-dxc)/dSe</f>
        <v>-0.306402193194646</v>
      </c>
      <c r="T8" s="0" t="n">
        <f aca="false">((-pn_top/10-a_s*MIN(4,n_b-1))+dH/2)/dSe</f>
        <v>-0.0806321561038542</v>
      </c>
      <c r="V8" s="0" t="n">
        <f aca="false">((-g_tw/2)-dxc)/dSp</f>
        <v>-0.592646347363329</v>
      </c>
      <c r="W8" s="0" t="n">
        <f aca="false">(-dZw)/dSp</f>
        <v>-0.483792936623125</v>
      </c>
      <c r="AK8" s="0" t="n">
        <f aca="false">((g_tw/2)-dxc)/dSp</f>
        <v>-0.568456700532172</v>
      </c>
      <c r="AL8" s="0" t="n">
        <f aca="false">(b_tw/2)/dSp</f>
        <v>0.00806321561038542</v>
      </c>
      <c r="AN8" s="0" t="n">
        <f aca="false">((g_tw/2+IF(t_da=1,an_t/10,0))-dxc)/dSp</f>
        <v>-0.568456700532172</v>
      </c>
      <c r="AO8" s="0" t="n">
        <f aca="false">((b_tw/2+IF(t_da=1,an_ls/10,0)))/dSp</f>
        <v>0.00806321561038542</v>
      </c>
      <c r="AQ8" s="0" t="n">
        <f aca="false">((g_tw/2+IF(t_da=1,an_t/10,0))-dxc)/dSp</f>
        <v>-0.568456700532172</v>
      </c>
      <c r="AR8" s="0" t="n">
        <f aca="false">(-(b_tw/2+IF(t_da=1,an_ls/10,0)))/dSp</f>
        <v>-0.00806321561038542</v>
      </c>
    </row>
    <row r="9" customFormat="false" ht="15" hidden="false" customHeight="false" outlineLevel="0" collapsed="false">
      <c r="A9" s="0" t="s">
        <v>402</v>
      </c>
      <c r="B9" s="0" t="n">
        <f aca="false">MAX(dxf+g_bf/2,2*dZw)/2*1.06</f>
        <v>24.804</v>
      </c>
      <c r="D9" s="0" t="n">
        <f aca="false">((g_bf/2)-dxc)/dSe</f>
        <v>-0.217706821480406</v>
      </c>
      <c r="E9" s="0" t="n">
        <f aca="false">((-g_d+g_tf)+dH/2)/dSe</f>
        <v>-0.75794226737623</v>
      </c>
      <c r="G9" s="0" t="n">
        <f aca="false">((dxe+IF(c_bot&gt;0,c_c,0))-dxc)/dSe</f>
        <v>-0.507982583454282</v>
      </c>
      <c r="H9" s="0" t="n">
        <f aca="false">((-b_d+c_bot)+dH/2)/dSe</f>
        <v>-0.403160780519271</v>
      </c>
      <c r="S9" s="0" t="n">
        <f aca="false">((g_tw/2+e_xb)-dxc)/dSe</f>
        <v>-0.306402193194646</v>
      </c>
      <c r="T9" s="0" t="n">
        <f aca="false">((-pn_top/10-a_s*MIN(5,n_b-1))+dH/2)/dSe</f>
        <v>-0.0806321561038542</v>
      </c>
      <c r="AN9" s="0" t="n">
        <f aca="false">((g_tw/2)-dxc)/dSp</f>
        <v>-0.568456700532172</v>
      </c>
      <c r="AO9" s="0" t="n">
        <f aca="false">((b_tw/2+IF(t_da=1,an_ls/10,0)))/dSp</f>
        <v>0.00806321561038542</v>
      </c>
      <c r="AQ9" s="0" t="n">
        <f aca="false">((g_tw/2)-dxc)/dSp</f>
        <v>-0.568456700532172</v>
      </c>
      <c r="AR9" s="0" t="n">
        <f aca="false">(-(b_tw/2+IF(t_da=1,an_ls/10,0)))/dSp</f>
        <v>-0.00806321561038542</v>
      </c>
    </row>
    <row r="10" customFormat="false" ht="15" hidden="false" customHeight="false" outlineLevel="0" collapsed="false">
      <c r="A10" s="0" t="s">
        <v>403</v>
      </c>
      <c r="B10" s="0" t="n">
        <f aca="false">IF(t_pl=1,e_xb+e_Leh,an_lb/10)</f>
        <v>11</v>
      </c>
      <c r="D10" s="0" t="n">
        <f aca="false">((g_bf/2)-dxc)/dSe</f>
        <v>-0.217706821480406</v>
      </c>
      <c r="E10" s="0" t="n">
        <f aca="false">((-g_d)+dH/2)/dSe</f>
        <v>-0.806321561038542</v>
      </c>
      <c r="G10" s="0" t="n">
        <f aca="false">((dxe+IF(c_bot&gt;0,c_c,0))-dxc)/dSe</f>
        <v>-0.507982583454282</v>
      </c>
      <c r="H10" s="0" t="n">
        <f aca="false">((-b_d)+dH/2)/dSe</f>
        <v>-0.403160780519271</v>
      </c>
      <c r="S10" s="0" t="n">
        <f aca="false">((g_tw/2+e_xb)-dxc)/dSe</f>
        <v>-0.306402193194646</v>
      </c>
      <c r="T10" s="0" t="n">
        <f aca="false">((-pn_top/10-a_s*MIN(6,n_b-1))+dH/2)/dSe</f>
        <v>-0.0806321561038542</v>
      </c>
      <c r="AN10" s="0" t="n">
        <f aca="false">((g_tw/2)-dxc)/dSp</f>
        <v>-0.568456700532172</v>
      </c>
      <c r="AO10" s="0" t="n">
        <f aca="false">((b_tw/2))/dSp</f>
        <v>0.00806321561038542</v>
      </c>
      <c r="AQ10" s="0" t="n">
        <f aca="false">((g_tw/2)-dxc)/dSp</f>
        <v>-0.568456700532172</v>
      </c>
      <c r="AR10" s="0" t="n">
        <f aca="false">(-(b_tw/2))/dSp</f>
        <v>-0.00806321561038542</v>
      </c>
    </row>
    <row r="11" customFormat="false" ht="15" hidden="false" customHeight="false" outlineLevel="0" collapsed="false">
      <c r="D11" s="0" t="n">
        <f aca="false">((-g_bf/2)-dxc)/dSe</f>
        <v>-0.943396226415094</v>
      </c>
      <c r="E11" s="0" t="n">
        <f aca="false">((-g_d)+dH/2)/dSe</f>
        <v>-0.806321561038542</v>
      </c>
      <c r="G11" s="0" t="n">
        <f aca="false">((dxf)-dxc)/dSe</f>
        <v>0.943396226415094</v>
      </c>
      <c r="H11" s="0" t="n">
        <f aca="false">((-b_d)+dH/2)/dSe</f>
        <v>-0.403160780519271</v>
      </c>
      <c r="S11" s="0" t="n">
        <f aca="false">((g_tw/2+e_xb)-dxc)/dSe</f>
        <v>-0.306402193194646</v>
      </c>
      <c r="T11" s="0" t="n">
        <f aca="false">((-pn_top/10-a_s*MIN(7,n_b-1))+dH/2)/dSe</f>
        <v>-0.0806321561038542</v>
      </c>
    </row>
    <row r="12" customFormat="false" ht="15" hidden="false" customHeight="false" outlineLevel="0" collapsed="false">
      <c r="D12" s="0" t="n">
        <f aca="false">((-g_bf/2)-dxc)/dSe</f>
        <v>-0.943396226415094</v>
      </c>
      <c r="E12" s="0" t="n">
        <f aca="false">((-g_d+g_tf)+dH/2)/dSe</f>
        <v>-0.75794226737623</v>
      </c>
      <c r="S12" s="0" t="n">
        <f aca="false">((g_tw/2+e_xb)-dxc)/dSe</f>
        <v>-0.306402193194646</v>
      </c>
      <c r="T12" s="0" t="n">
        <f aca="false">((-pn_top/10-a_s*MIN(8,n_b-1))+dH/2)/dSe</f>
        <v>-0.0806321561038542</v>
      </c>
    </row>
    <row r="13" customFormat="false" ht="15" hidden="false" customHeight="false" outlineLevel="0" collapsed="false">
      <c r="D13" s="0" t="n">
        <f aca="false">((-g_tw/2)-dxc)/dSe</f>
        <v>-0.592646347363329</v>
      </c>
      <c r="E13" s="0" t="n">
        <f aca="false">((-g_d+g_tf)+dH/2)/dSe</f>
        <v>-0.75794226737623</v>
      </c>
      <c r="S13" s="0" t="n">
        <f aca="false">((g_tw/2+e_xb)-dxc)/dSe</f>
        <v>-0.306402193194646</v>
      </c>
      <c r="T13" s="0" t="n">
        <f aca="false">((-pn_top/10-a_s*MIN(9,n_b-1))+dH/2)/dSe</f>
        <v>-0.0806321561038542</v>
      </c>
    </row>
    <row r="14" customFormat="false" ht="15" hidden="false" customHeight="false" outlineLevel="0" collapsed="false">
      <c r="D14" s="0" t="n">
        <f aca="false">((-g_tw/2)-dxc)/dSe</f>
        <v>-0.592646347363329</v>
      </c>
      <c r="E14" s="0" t="n">
        <f aca="false">((-g_tf)+dH/2)/dSe</f>
        <v>0.75794226737623</v>
      </c>
      <c r="S14" s="0" t="n">
        <f aca="false">((g_tw/2+e_xb)-dxc)/dSe</f>
        <v>-0.306402193194646</v>
      </c>
      <c r="T14" s="0" t="n">
        <f aca="false">((-pn_top/10-a_s*MIN(10,n_b-1))+dH/2)/dSe</f>
        <v>-0.0806321561038542</v>
      </c>
    </row>
    <row r="15" customFormat="false" ht="15" hidden="false" customHeight="false" outlineLevel="0" collapsed="false">
      <c r="D15" s="0" t="n">
        <f aca="false">((-g_bf/2)-dxc)/dSe</f>
        <v>-0.943396226415094</v>
      </c>
      <c r="E15" s="0" t="n">
        <f aca="false">((-g_tf)+dH/2)/dSe</f>
        <v>0.75794226737623</v>
      </c>
      <c r="S15" s="0" t="n">
        <f aca="false">((g_tw/2+e_xb)-dxc)/dSe</f>
        <v>-0.306402193194646</v>
      </c>
      <c r="T15" s="0" t="n">
        <f aca="false">((-pn_top/10-a_s*MIN(11,n_b-1))+dH/2)/dSe</f>
        <v>-0.0806321561038542</v>
      </c>
    </row>
    <row r="16" customFormat="false" ht="15" hidden="false" customHeight="false" outlineLevel="0" collapsed="false">
      <c r="D16" s="0" t="n">
        <f aca="false">((-g_bf/2)-dxc)/dSe</f>
        <v>-0.943396226415094</v>
      </c>
      <c r="E16" s="0" t="n">
        <f aca="false">((0)+dH/2)/dSe</f>
        <v>0.806321561038542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2026-09-26T04:56:19Z</dcterms:created>
  <dc:creator>openpyxl</dc:creator>
  <dc:description/>
  <dc:language>en-US</dc:language>
  <cp:lastModifiedBy/>
  <dcterms:modified xsi:type="dcterms:W3CDTF">2026-09-26T04:56:36Z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