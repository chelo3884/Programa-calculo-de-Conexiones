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DISEÑO!$A$1:$U$54</definedName>
    <definedName function="false" hidden="false" name="cb_M" vbProcedure="false">DISEÑO!$I$23:$I$32</definedName>
    <definedName function="false" hidden="false" name="cb_nom" vbProcedure="false">DISEÑO!$G$23:$G$32</definedName>
    <definedName function="false" hidden="false" name="cb_P" vbProcedure="false">DISEÑO!$H$23:$H$32</definedName>
    <definedName function="false" hidden="false" name="cb_V" vbProcedure="false">DISEÑO!$J$23:$J$32</definedName>
    <definedName function="false" hidden="false" name="cl_acero" vbProcedure="false">DISEÑO!$C$30</definedName>
    <definedName function="false" hidden="false" name="cl_bf_mm" vbProcedure="false">DISEÑO!$C$27</definedName>
    <definedName function="false" hidden="false" name="cl_d_mm" vbProcedure="false">DISEÑO!$C$26</definedName>
    <definedName function="false" hidden="false" name="cl_Fu" vbProcedure="false">DISEÑO!$E$31</definedName>
    <definedName function="false" hidden="false" name="cl_Fy" vbProcedure="false">DISEÑO!$C$31</definedName>
    <definedName function="false" hidden="false" name="cl_perfil" vbProcedure="false">DISEÑO!$C$25</definedName>
    <definedName function="false" hidden="false" name="cl_tf_mm" vbProcedure="false">DISEÑO!$C$29</definedName>
    <definedName function="false" hidden="false" name="cl_tw_mm" vbProcedure="false">DISEÑO!$C$28</definedName>
    <definedName function="false" hidden="false" name="cu_acero" vbProcedure="false">DISEÑO!$C$22</definedName>
    <definedName function="false" hidden="false" name="cu_bf_mm" vbProcedure="false">DISEÑO!$C$19</definedName>
    <definedName function="false" hidden="false" name="cu_d_mm" vbProcedure="false">DISEÑO!$C$18</definedName>
    <definedName function="false" hidden="false" name="cu_Fu" vbProcedure="false">DISEÑO!$E$23</definedName>
    <definedName function="false" hidden="false" name="cu_Fy" vbProcedure="false">DISEÑO!$C$23</definedName>
    <definedName function="false" hidden="false" name="cu_perfil" vbProcedure="false">DISEÑO!$C$17</definedName>
    <definedName function="false" hidden="false" name="cu_tf_mm" vbProcedure="false">DISEÑO!$C$21</definedName>
    <definedName function="false" hidden="false" name="cu_tw_mm" vbProcedure="false">DISEÑO!$C$20</definedName>
    <definedName function="false" hidden="false" name="c_bs" vbProcedure="false">CALCULO!$D$52</definedName>
    <definedName function="false" hidden="false" name="c_tr" vbProcedure="false">CALCULO!$D$51</definedName>
    <definedName function="false" hidden="false" name="det_k" vbProcedure="false">DISEÑO!$K$36</definedName>
    <definedName function="false" hidden="false" name="dg2" vbProcedure="false">DIBUJO!$B$8</definedName>
    <definedName function="false" hidden="false" name="dH" vbProcedure="false">DIBUJO!$B$5</definedName>
    <definedName function="false" hidden="false" name="dist_v" vbProcedure="false">DISEÑO!$C$14</definedName>
    <definedName function="false" hidden="false" name="dLp" vbProcedure="false">DIBUJO!$B$3</definedName>
    <definedName function="false" hidden="false" name="dLw" vbProcedure="false">DIBUJO!$B$4</definedName>
    <definedName function="false" hidden="false" name="dSe" vbProcedure="false">DIBUJO!$B$6</definedName>
    <definedName function="false" hidden="false" name="dSs" vbProcedure="false">DIBUJO!$B$7</definedName>
    <definedName function="false" hidden="false" name="dxp" vbProcedure="false">DIBUJO!$B$9</definedName>
    <definedName function="false" hidden="false" name="E_f" vbProcedure="false">DISEÑO!$C$61</definedName>
    <definedName function="false" hidden="false" name="E_w" vbProcedure="false">DISEÑO!$C$62</definedName>
    <definedName function="false" hidden="false" name="fa_Ab" vbProcedure="false">CALCULO!$D$32</definedName>
    <definedName function="false" hidden="false" name="fa_db" vbProcedure="false">CALCULO!$D$31</definedName>
    <definedName function="false" hidden="false" name="fa_dbi" vbProcedure="false">CALCULO!$D$30</definedName>
    <definedName function="false" hidden="false" name="fa_dh" vbProcedure="false">CALCULO!$D$33</definedName>
    <definedName function="false" hidden="false" name="fa_diam" vbProcedure="false">DISEÑO!$C$40</definedName>
    <definedName function="false" hidden="false" name="fa_dn" vbProcedure="false">CALCULO!$D$34</definedName>
    <definedName function="false" hidden="false" name="fa_em" vbProcedure="false">CALCULO!$D$35</definedName>
    <definedName function="false" hidden="false" name="fa_Fnv" vbProcedure="false">CALCULO!$D$36</definedName>
    <definedName function="false" hidden="false" name="fa_g" vbProcedure="false">DISEÑO!$C$43</definedName>
    <definedName function="false" hidden="false" name="fa_grado" vbProcedure="false">DISEÑO!$C$39</definedName>
    <definedName function="false" hidden="false" name="fa_Lec" vbProcedure="false">DISEÑO!$C$45</definedName>
    <definedName function="false" hidden="false" name="fa_Lep" vbProcedure="false">DISEÑO!$C$46</definedName>
    <definedName function="false" hidden="false" name="fa_n" vbProcedure="false">DISEÑO!$C$42</definedName>
    <definedName function="false" hidden="false" name="fa_s" vbProcedure="false">DISEÑO!$C$44</definedName>
    <definedName function="false" hidden="false" name="fa_Tb" vbProcedure="false">CALCULO!$D$37</definedName>
    <definedName function="false" hidden="false" name="fill_t" vbProcedure="false">DISEÑO!$C$37</definedName>
    <definedName function="false" hidden="false" name="fresado" vbProcedure="false">DISEÑO!$C$12</definedName>
    <definedName function="false" hidden="false" name="f_fill" vbProcedure="false">CALCULO!$D$39</definedName>
    <definedName function="false" hidden="false" name="f_nb" vbProcedure="false">CALCULO!$D$38</definedName>
    <definedName function="false" hidden="false" name="f_rbc" vbProcedure="false">CALCULO!$D$42</definedName>
    <definedName function="false" hidden="false" name="f_rbp" vbProcedure="false">CALCULO!$D$43</definedName>
    <definedName function="false" hidden="false" name="f_rv" vbProcedure="false">CALCULO!$D$40</definedName>
    <definedName function="false" hidden="false" name="f_rvs" vbProcedure="false">CALCULO!$D$41</definedName>
    <definedName function="false" hidden="false" name="gap" vbProcedure="false">DISEÑO!$C$15</definedName>
    <definedName function="false" hidden="false" name="junta" vbProcedure="false">DISEÑO!$C$41</definedName>
    <definedName function="false" hidden="false" name="j_mu" vbProcedure="false">CALCULO!$D$28</definedName>
    <definedName function="false" hidden="false" name="j_sc" vbProcedure="false">CALCULO!$D$27</definedName>
    <definedName function="false" hidden="false" name="k_Ab" vbProcedure="false">CALCULO!$D$25</definedName>
    <definedName function="false" hidden="false" name="k_E" vbProcedure="false">CALCULO!$D$10</definedName>
    <definedName function="false" hidden="false" name="k_fr" vbProcedure="false">CALCULO!$D$8</definedName>
    <definedName function="false" hidden="false" name="k_Fu" vbProcedure="false">CALCULO!$D$23</definedName>
    <definedName function="false" hidden="false" name="k_Fy" vbProcedure="false">CALCULO!$D$22</definedName>
    <definedName function="false" hidden="false" name="k_ov" vbProcedure="false">CALCULO!$D$24</definedName>
    <definedName function="false" hidden="false" name="k_Rbe" vbProcedure="false">CALCULO!$D$26</definedName>
    <definedName function="false" hidden="false" name="k_s2" vbProcedure="false">CALCULO!$D$9</definedName>
    <definedName function="false" hidden="false" name="lim_verde" vbProcedure="false">DISEÑO!$C$9</definedName>
    <definedName function="false" hidden="false" name="l_bf" vbProcedure="false">CALCULO!$D$16</definedName>
    <definedName function="false" hidden="false" name="l_d" vbProcedure="false">CALCULO!$D$15</definedName>
    <definedName function="false" hidden="false" name="l_tf" vbProcedure="false">CALCULO!$D$18</definedName>
    <definedName function="false" hidden="false" name="l_tw" vbProcedure="false">CALCULO!$D$17</definedName>
    <definedName function="false" hidden="false" name="pf_acero" vbProcedure="false">DISEÑO!$C$33</definedName>
    <definedName function="false" hidden="false" name="pf_b" vbProcedure="false">DISEÑO!$C$35</definedName>
    <definedName function="false" hidden="false" name="pf_Fu" vbProcedure="false">DISEÑO!$E$34</definedName>
    <definedName function="false" hidden="false" name="pf_Fy" vbProcedure="false">DISEÑO!$C$34</definedName>
    <definedName function="false" hidden="false" name="pf_t" vbProcedure="false">DISEÑO!$C$36</definedName>
    <definedName function="false" hidden="false" name="pw_acero" vbProcedure="false">DISEÑO!$C$48</definedName>
    <definedName function="false" hidden="false" name="pw_b" vbProcedure="false">DISEÑO!$C$50</definedName>
    <definedName function="false" hidden="false" name="pw_Fu" vbProcedure="false">DISEÑO!$E$49</definedName>
    <definedName function="false" hidden="false" name="pw_Fy" vbProcedure="false">DISEÑO!$C$49</definedName>
    <definedName function="false" hidden="false" name="pw_t" vbProcedure="false">DISEÑO!$C$51</definedName>
    <definedName function="false" hidden="false" name="p_Ag" vbProcedure="false">CALCULO!$D$44</definedName>
    <definedName function="false" hidden="false" name="p_bs" vbProcedure="false">CALCULO!$D$47</definedName>
    <definedName function="false" hidden="false" name="p_cb" vbProcedure="false">CALCULO!$D$50</definedName>
    <definedName function="false" hidden="false" name="p_Fcr" vbProcedure="false">CALCULO!$D$49</definedName>
    <definedName function="false" hidden="false" name="p_KLr" vbProcedure="false">CALCULO!$D$48</definedName>
    <definedName function="false" hidden="false" name="p_tr" vbProcedure="false">CALCULO!$D$46</definedName>
    <definedName function="false" hidden="false" name="p_ty" vbProcedure="false">CALCULO!$D$45</definedName>
    <definedName function="false" hidden="false" name="sd_elec" vbProcedure="false">DISEÑO!$C$60</definedName>
    <definedName function="false" hidden="false" name="sismico" vbProcedure="false">DISEÑO!$C$13</definedName>
    <definedName function="false" hidden="false" name="s_Emin" vbProcedure="false">CALCULO!$D$78</definedName>
    <definedName function="false" hidden="false" name="s_FEXX" vbProcedure="false">CALCULO!$D$74</definedName>
    <definedName function="false" hidden="false" name="s_Rfc" vbProcedure="false">CALCULO!$D$76</definedName>
    <definedName function="false" hidden="false" name="s_Rft" vbProcedure="false">CALCULO!$D$75</definedName>
    <definedName function="false" hidden="false" name="s_Rwv" vbProcedure="false">CALCULO!$D$77</definedName>
    <definedName function="false" hidden="false" name="tipo" vbProcedure="false">DISEÑO!$C$11</definedName>
    <definedName function="false" hidden="false" name="t_ap" vbProcedure="false">CALCULO!$D$5</definedName>
    <definedName function="false" hidden="false" name="t_cjp" vbProcedure="false">CALCULO!$D$7</definedName>
    <definedName function="false" hidden="false" name="t_pjp" vbProcedure="false">CALCULO!$D$6</definedName>
    <definedName function="false" hidden="false" name="u_A" vbProcedure="false">CALCULO!$D$20</definedName>
    <definedName function="false" hidden="false" name="u_Af" vbProcedure="false">CALCULO!$D$19</definedName>
    <definedName function="false" hidden="false" name="u_Aw" vbProcedure="false">CALCULO!$D$21</definedName>
    <definedName function="false" hidden="false" name="u_bf" vbProcedure="false">CALCULO!$D$12</definedName>
    <definedName function="false" hidden="false" name="u_d" vbProcedure="false">CALCULO!$D$11</definedName>
    <definedName function="false" hidden="false" name="u_tf" vbProcedure="false">CALCULO!$D$14</definedName>
    <definedName function="false" hidden="false" name="u_tw" vbProcedure="false">CALCULO!$D$13</definedName>
    <definedName function="false" hidden="false" name="wa_Ab" vbProcedure="false">CALCULO!$D$56</definedName>
    <definedName function="false" hidden="false" name="wa_db" vbProcedure="false">CALCULO!$D$55</definedName>
    <definedName function="false" hidden="false" name="wa_dbi" vbProcedure="false">CALCULO!$D$54</definedName>
    <definedName function="false" hidden="false" name="wa_dh" vbProcedure="false">CALCULO!$D$57</definedName>
    <definedName function="false" hidden="false" name="wa_diam" vbProcedure="false">DISEÑO!$C$53</definedName>
    <definedName function="false" hidden="false" name="wa_dn" vbProcedure="false">CALCULO!$D$58</definedName>
    <definedName function="false" hidden="false" name="wa_em" vbProcedure="false">CALCULO!$D$59</definedName>
    <definedName function="false" hidden="false" name="wa_Fnv" vbProcedure="false">CALCULO!$D$60</definedName>
    <definedName function="false" hidden="false" name="wa_grado" vbProcedure="false">DISEÑO!$C$52</definedName>
    <definedName function="false" hidden="false" name="wa_Le" vbProcedure="false">DISEÑO!$C$58</definedName>
    <definedName function="false" hidden="false" name="wa_nc" vbProcedure="false">DISEÑO!$C$55</definedName>
    <definedName function="false" hidden="false" name="wa_nr" vbProcedure="false">DISEÑO!$C$54</definedName>
    <definedName function="false" hidden="false" name="wa_sh" vbProcedure="false">DISEÑO!$C$57</definedName>
    <definedName function="false" hidden="false" name="wa_sv" vbProcedure="false">DISEÑO!$C$56</definedName>
    <definedName function="false" hidden="false" name="wa_Tb" vbProcedure="false">CALCULO!$D$61</definedName>
    <definedName function="false" hidden="false" name="w_ay" vbProcedure="false">CALCULO!$D$72</definedName>
    <definedName function="false" hidden="false" name="w_e" vbProcedure="false">CALCULO!$D$63</definedName>
    <definedName function="false" hidden="false" name="w_Ip" vbProcedure="false">CALCULO!$D$64</definedName>
    <definedName function="false" hidden="false" name="w_n" vbProcedure="false">CALCULO!$D$62</definedName>
    <definedName function="false" hidden="false" name="w_rb" vbProcedure="false">CALCULO!$D$69</definedName>
    <definedName function="false" hidden="false" name="w_rv" vbProcedure="false">CALCULO!$D$67</definedName>
    <definedName function="false" hidden="false" name="w_rvs" vbProcedure="false">CALCULO!$D$68</definedName>
    <definedName function="false" hidden="false" name="w_vr" vbProcedure="false">CALCULO!$D$71</definedName>
    <definedName function="false" hidden="false" name="w_vy" vbProcedure="false">CALCULO!$D$70</definedName>
    <definedName function="false" hidden="false" name="w_xm" vbProcedure="false">CALCULO!$D$65</definedName>
    <definedName function="false" hidden="false" name="w_ym" vbProcedure="false">CALCULO!$D$66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Sí: la compresión se transmite por contacto (J1.4, J7) y las placas/soldaduras toman solo la tracción neta. No: el empalme transmite todas las fuerzas.</t>
        </r>
      </text>
    </comment>
    <comment ref="C13" authorId="0">
      <text>
        <r>
          <rPr>
            <sz val="10"/>
            <rFont val="Arial"/>
            <family val="2"/>
          </rPr>
          <t xml:space="preserve">Sí: soldaduras PJP con el 200 % de la demanda (D2.5b) y ubicación a ≥ 1.2 m de la conexión viga-columna (D2.5a). Las combinaciones deben incluir la carga sísmica amplificada cuando AISC 341 lo exija.</t>
        </r>
      </text>
    </comment>
    <comment ref="C17" authorId="0">
      <text>
        <r>
          <rPr>
            <sz val="10"/>
            <rFont val="Arial"/>
            <family val="2"/>
          </rPr>
          <t xml:space="preserve">Para un perfil armado con flejes soldados elija 'ARMADO (flejes soldados)' e ingrese d, bf, tw y tf en mm en la columna 'Armado'.</t>
        </r>
      </text>
    </comment>
    <comment ref="C25" authorId="0">
      <text>
        <r>
          <rPr>
            <sz val="10"/>
            <rFont val="Arial"/>
            <family val="2"/>
          </rPr>
          <t xml:space="preserve">Para un perfil armado con flejes soldados elija 'ARMADO (flejes soldados)' e ingrese d, bf, tw y tf en mm en la columna 'Armado'.</t>
        </r>
      </text>
    </comment>
    <comment ref="C61" authorId="0">
      <text>
        <r>
          <rPr>
            <sz val="10"/>
            <rFont val="Arial"/>
            <family val="2"/>
          </rPr>
          <t xml:space="preserve">Garganta efectiva según Tabla J2.1 (bisel y proceso).</t>
        </r>
      </text>
    </comment>
  </commentList>
</comments>
</file>

<file path=xl/sharedStrings.xml><?xml version="1.0" encoding="utf-8"?>
<sst xmlns="http://schemas.openxmlformats.org/spreadsheetml/2006/main" count="693" uniqueCount="419">
  <si>
    <t xml:space="preserve">EMPALME DE COLUMNA (COLUMN SPLICE) — APERNADO, PJP O CJP</t>
  </si>
  <si>
    <t xml:space="preserve">AISC 360-16 (J1.4, J2, J3, J4, J5.2, J7)  ·  AISC Manual Parte 14  ·  AISC 341-16 D2.5  ·  LRFD  ·  Unidades: Tonf, Tonf·m,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</si>
  <si>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</si>
  <si>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</si>
  <si>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</si>
  <si>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capacidad, o requerido / provisto)</t>
  </si>
  <si>
    <t xml:space="preserve">DATOS GENERALES</t>
  </si>
  <si>
    <t xml:space="preserve">ELEVACIÓN (vista perpendicular al alma)</t>
  </si>
  <si>
    <t xml:space="preserve">SECCIÓN (gris: inferior · azul: superior)</t>
  </si>
  <si>
    <t xml:space="preserve">VERIFICACIONES — combinación gobernante por chequeo</t>
  </si>
  <si>
    <t xml:space="preserve">Proyecto</t>
  </si>
  <si>
    <t xml:space="preserve">Edificio — ejemplo</t>
  </si>
  <si>
    <t xml:space="preserve">Elemento</t>
  </si>
  <si>
    <t xml:space="preserve">Columna C-4, empalme nivel 3</t>
  </si>
  <si>
    <t xml:space="preserve">Límite verde / amarillo (ratio)</t>
  </si>
  <si>
    <t xml:space="preserve">TIPO DE EMPALME</t>
  </si>
  <si>
    <t xml:space="preserve">Verificación</t>
  </si>
  <si>
    <t xml:space="preserve">Referencia</t>
  </si>
  <si>
    <t xml:space="preserve">Demanda</t>
  </si>
  <si>
    <t xml:space="preserve">Capacidad</t>
  </si>
  <si>
    <t xml:space="preserve">Unidad</t>
  </si>
  <si>
    <t xml:space="preserve">Ratio</t>
  </si>
  <si>
    <t xml:space="preserve">Estado</t>
  </si>
  <si>
    <t xml:space="preserve">Combo</t>
  </si>
  <si>
    <t xml:space="preserve">Tipo</t>
  </si>
  <si>
    <t xml:space="preserve">Placas apernadas</t>
  </si>
  <si>
    <t xml:space="preserve">APOYO Y ALAS</t>
  </si>
  <si>
    <t xml:space="preserve">Extremos acabados para apoyo (fresados)</t>
  </si>
  <si>
    <t xml:space="preserve">Sí</t>
  </si>
  <si>
    <t xml:space="preserve">Apoyo por contacto (superficies fresadas)</t>
  </si>
  <si>
    <t xml:space="preserve">J1.4 · J7(a)</t>
  </si>
  <si>
    <t xml:space="preserve">Tonf</t>
  </si>
  <si>
    <t xml:space="preserve">Diseño sísmico (AISC 341-16)</t>
  </si>
  <si>
    <t xml:space="preserve">Sí (otros sistemas)</t>
  </si>
  <si>
    <t xml:space="preserve">Pernos de ala — corte / deslizamiento (con relleno)</t>
  </si>
  <si>
    <t xml:space="preserve">J3.6 · J3.8 · J5.2</t>
  </si>
  <si>
    <t xml:space="preserve">Distancia del empalme a la viga más cercana</t>
  </si>
  <si>
    <t xml:space="preserve">mm</t>
  </si>
  <si>
    <t xml:space="preserve">Pernos de ala — aplastamiento / desgarre</t>
  </si>
  <si>
    <t xml:space="preserve">J3.10</t>
  </si>
  <si>
    <t xml:space="preserve">Holgura entre columnas</t>
  </si>
  <si>
    <t xml:space="preserve">Placa de ala — fluencia en tracción</t>
  </si>
  <si>
    <t xml:space="preserve">J4.1(a)</t>
  </si>
  <si>
    <t xml:space="preserve">1. COLUMNA SUPERIOR</t>
  </si>
  <si>
    <t xml:space="preserve">Placa de ala — ruptura en tracción</t>
  </si>
  <si>
    <t xml:space="preserve">J4.1(b)</t>
  </si>
  <si>
    <t xml:space="preserve">Perfil (catálogo o ARMADO)</t>
  </si>
  <si>
    <t xml:space="preserve">HA400X200X8X15</t>
  </si>
  <si>
    <t xml:space="preserve">Armado (mm)</t>
  </si>
  <si>
    <t xml:space="preserve">Placa de ala — bloque de cortante</t>
  </si>
  <si>
    <t xml:space="preserve">J4.3</t>
  </si>
  <si>
    <t xml:space="preserve">Peralte d</t>
  </si>
  <si>
    <t xml:space="preserve">Placa de ala — compresión (sin fresar)</t>
  </si>
  <si>
    <t xml:space="preserve">J4.4 / E3</t>
  </si>
  <si>
    <t xml:space="preserve">Ancho de ala bf</t>
  </si>
  <si>
    <t xml:space="preserve">Ala de columna superior — ruptura neta</t>
  </si>
  <si>
    <t xml:space="preserve">Espesor de alma tw</t>
  </si>
  <si>
    <t xml:space="preserve">Ala de columna superior — bloque de cortante</t>
  </si>
  <si>
    <t xml:space="preserve">Espesor de ala tf</t>
  </si>
  <si>
    <t xml:space="preserve">SOLICITACIONES EN EL EMPALME (LRFD)</t>
  </si>
  <si>
    <t xml:space="preserve">ALMA</t>
  </si>
  <si>
    <t xml:space="preserve">Acero</t>
  </si>
  <si>
    <t xml:space="preserve">A572 Gr50</t>
  </si>
  <si>
    <t xml:space="preserve">Combinación</t>
  </si>
  <si>
    <t xml:space="preserve">Pu (Tonf)
(+) compresión</t>
  </si>
  <si>
    <t xml:space="preserve">Mu (Tonf·m)</t>
  </si>
  <si>
    <t xml:space="preserve">Vu (Tonf)</t>
  </si>
  <si>
    <t xml:space="preserve">Ratio máx.</t>
  </si>
  <si>
    <t xml:space="preserve">Pernos de alma — corte / deslizamiento</t>
  </si>
  <si>
    <t xml:space="preserve">J3.6 · J3.8</t>
  </si>
  <si>
    <t xml:space="preserve">Fy / Fu</t>
  </si>
  <si>
    <t xml:space="preserve">kgf/cm²</t>
  </si>
  <si>
    <t xml:space="preserve">1.2D+1.6L</t>
  </si>
  <si>
    <t xml:space="preserve">Pernos de alma — aplastamiento / desgarre</t>
  </si>
  <si>
    <t xml:space="preserve">2. COLUMNA INFERIOR</t>
  </si>
  <si>
    <t xml:space="preserve">1.2D+Ω0E+L</t>
  </si>
  <si>
    <t xml:space="preserve">Placas de alma — corte y axial</t>
  </si>
  <si>
    <t xml:space="preserve">J4.1 · J4.2</t>
  </si>
  <si>
    <t xml:space="preserve">-</t>
  </si>
  <si>
    <t xml:space="preserve">HA420X210X8X15</t>
  </si>
  <si>
    <t xml:space="preserve">0.9D−Ω0E</t>
  </si>
  <si>
    <t xml:space="preserve">SOLDADURAS (PJP / CJP)</t>
  </si>
  <si>
    <t xml:space="preserve">C4</t>
  </si>
  <si>
    <t xml:space="preserve">Alas — tracción / compresión</t>
  </si>
  <si>
    <t xml:space="preserve">Tabla J2.5 · 341 D2.5b</t>
  </si>
  <si>
    <t xml:space="preserve">C5</t>
  </si>
  <si>
    <t xml:space="preserve">Alma — corte</t>
  </si>
  <si>
    <t xml:space="preserve">C6</t>
  </si>
  <si>
    <t xml:space="preserve">PJP: garganta alas ≥ mínima</t>
  </si>
  <si>
    <t xml:space="preserve">Tabla J2.3</t>
  </si>
  <si>
    <t xml:space="preserve">—</t>
  </si>
  <si>
    <t xml:space="preserve">C7</t>
  </si>
  <si>
    <t xml:space="preserve">PJP: garganta alma ≥ mínima</t>
  </si>
  <si>
    <t xml:space="preserve">C8</t>
  </si>
  <si>
    <t xml:space="preserve">PJP: garganta ≤ espesor del ala</t>
  </si>
  <si>
    <t xml:space="preserve">Geometría</t>
  </si>
  <si>
    <t xml:space="preserve">C9</t>
  </si>
  <si>
    <t xml:space="preserve">REQUISITOS Y DETALLES (requerido / provisto)</t>
  </si>
  <si>
    <t xml:space="preserve">3. PLACAS DE ALA (apernado)</t>
  </si>
  <si>
    <t xml:space="preserve">C10</t>
  </si>
  <si>
    <t xml:space="preserve">Ubicación ≥ 1.2 m de la conexión viga-columna</t>
  </si>
  <si>
    <t xml:space="preserve">341 D2.5a</t>
  </si>
  <si>
    <t xml:space="preserve">Pu (+) compresión, (−) tracción. Momento alrededor del eje fuerte; Vu en la dirección del peralte.</t>
  </si>
  <si>
    <t xml:space="preserve">Solape de alas para apoyo directo (si no, placa de tope)</t>
  </si>
  <si>
    <t xml:space="preserve">Manual Parte 14</t>
  </si>
  <si>
    <t xml:space="preserve">cm</t>
  </si>
  <si>
    <t xml:space="preserve">Relleno ≤ 19 mm (J5.2; si no, desarrollar el relleno)</t>
  </si>
  <si>
    <t xml:space="preserve">J5.2</t>
  </si>
  <si>
    <t xml:space="preserve">Ancho de placa</t>
  </si>
  <si>
    <t xml:space="preserve">DETALLE DE UNA COMBINACIÓN</t>
  </si>
  <si>
    <t xml:space="preserve">Placa de ala ≤ ancho de ala de la columna menor</t>
  </si>
  <si>
    <t xml:space="preserve">Espesor de placa</t>
  </si>
  <si>
    <t xml:space="preserve">Combinación:</t>
  </si>
  <si>
    <t xml:space="preserve">Paso s ≥ 3·db (ala)</t>
  </si>
  <si>
    <t xml:space="preserve">J3.3</t>
  </si>
  <si>
    <t xml:space="preserve">Relleno en columna superior (auto)</t>
  </si>
  <si>
    <t xml:space="preserve">Tracción en el ala T</t>
  </si>
  <si>
    <t xml:space="preserve">Borde en columna ≥ mínimo (ala)</t>
  </si>
  <si>
    <t xml:space="preserve">J3.4</t>
  </si>
  <si>
    <t xml:space="preserve">4. PERNOS DE ALA</t>
  </si>
  <si>
    <t xml:space="preserve">Compresión a transmitir C</t>
  </si>
  <si>
    <t xml:space="preserve">Borde en placa ≥ mínimo (ala)</t>
  </si>
  <si>
    <t xml:space="preserve">Grado</t>
  </si>
  <si>
    <t xml:space="preserve">A325-N (roscas incl.)</t>
  </si>
  <si>
    <t xml:space="preserve">Axial en el alma Pw</t>
  </si>
  <si>
    <t xml:space="preserve">Borde lateral de placa (b − g)/2</t>
  </si>
  <si>
    <t xml:space="preserve">Diámetro</t>
  </si>
  <si>
    <t xml:space="preserve">3/4"</t>
  </si>
  <si>
    <t xml:space="preserve">Perno crítico de alma rmáx</t>
  </si>
  <si>
    <t xml:space="preserve">Gramil deja espacio a la llave junto al alma</t>
  </si>
  <si>
    <t xml:space="preserve">Tipo de junta</t>
  </si>
  <si>
    <t xml:space="preserve">Aplastamiento</t>
  </si>
  <si>
    <t xml:space="preserve">Relleno / factor J5.2</t>
  </si>
  <si>
    <t xml:space="preserve">Placa de alma cabe entre alas</t>
  </si>
  <si>
    <t xml:space="preserve">Filas por lado (2 líneas)</t>
  </si>
  <si>
    <t xml:space="preserve">Área de apoyo por contacto</t>
  </si>
  <si>
    <t xml:space="preserve">cm²</t>
  </si>
  <si>
    <t xml:space="preserve">Paso sv ≥ 3·db (alma)</t>
  </si>
  <si>
    <t xml:space="preserve">Gramil g</t>
  </si>
  <si>
    <t xml:space="preserve">Ratio máximo</t>
  </si>
  <si>
    <t xml:space="preserve">Borde en alma / placa ≥ mínimo</t>
  </si>
  <si>
    <t xml:space="preserve">Paso s</t>
  </si>
  <si>
    <t xml:space="preserve">Aviso SMF: empalmes de columna AISC 341 E3.6g</t>
  </si>
  <si>
    <t xml:space="preserve">341 E3.6g</t>
  </si>
  <si>
    <t xml:space="preserve">Borde en columna (fila → extremo)</t>
  </si>
  <si>
    <t xml:space="preserve">Borde en placa (última fila → extremo)</t>
  </si>
  <si>
    <t xml:space="preserve">ALCANCE Y SUPUESTOS</t>
  </si>
  <si>
    <t xml:space="preserve">5. PLACAS DE ALMA (2) Y PERNOS</t>
  </si>
  <si>
    <t xml:space="preserve">• Fuerzas de ala con la columna superior: T = Mu/(d − tf) − Pu·Af/A ; con extremos fresados la compresión va por contacto.</t>
  </si>
  <si>
    <t xml:space="preserve">A36</t>
  </si>
  <si>
    <t xml:space="preserve">• Rellenos en la columna superior cuando cambia el peralte; reducción de pernos por J5.2 (aplastamiento).</t>
  </si>
  <si>
    <t xml:space="preserve">• Alma: corte (con excentricidad al centro del grupo) y axial proporcional al área del alma; método elástico.</t>
  </si>
  <si>
    <t xml:space="preserve">Ancho de placa (transversal)</t>
  </si>
  <si>
    <t xml:space="preserve">• PJP sísmico: 200 % de la demanda (AISC 341 D2.5b). CJP: resistencia del metal base de la columna menor.</t>
  </si>
  <si>
    <t xml:space="preserve">Espesor</t>
  </si>
  <si>
    <t xml:space="preserve">• Aviso E3.6g (amarillo): en SMF el empalme debe desarrollar la columna; revisar si no es CJP.</t>
  </si>
  <si>
    <t xml:space="preserve">• No incluye: placa de tope (butt plate) para peraltes muy distintos, flexión en el eje débil.</t>
  </si>
  <si>
    <t xml:space="preserve">• Herramienta de apoyo: la responsabilidad del diseño es del ingeniero que la usa.</t>
  </si>
  <si>
    <t xml:space="preserve">Filas por lado (a lo largo)</t>
  </si>
  <si>
    <t xml:space="preserve">Columnas (transversal)</t>
  </si>
  <si>
    <t xml:space="preserve">Paso longitudinal sv</t>
  </si>
  <si>
    <t xml:space="preserve">Gramil transversal sh</t>
  </si>
  <si>
    <t xml:space="preserve">Borde en columna / en placa</t>
  </si>
  <si>
    <t xml:space="preserve">6. SOLDADURA (PJP / CJP)</t>
  </si>
  <si>
    <t xml:space="preserve">Electrodo</t>
  </si>
  <si>
    <t xml:space="preserve">E70XX</t>
  </si>
  <si>
    <t xml:space="preserve">PJP: garganta efectiva en alas E</t>
  </si>
  <si>
    <t xml:space="preserve">PJP: garganta efectiva en alma E</t>
  </si>
  <si>
    <t xml:space="preserve">HOJA DE CÁLCULO — memoria detallada (no editar)</t>
  </si>
  <si>
    <t xml:space="preserve">Unidades: kgf, cm. La fuerza en las alas se calcula con la columna superior (menor): Ff = Mu/(d − tf) ± Pu·Af/A.</t>
  </si>
  <si>
    <t xml:space="preserve">0. GEOMETRÍA Y OPCIONES</t>
  </si>
  <si>
    <t xml:space="preserve">apern.</t>
  </si>
  <si>
    <t xml:space="preserve">1 = placas apernadas</t>
  </si>
  <si>
    <t xml:space="preserve">PJP</t>
  </si>
  <si>
    <t xml:space="preserve">1 = soldado PJP</t>
  </si>
  <si>
    <t xml:space="preserve">CJP</t>
  </si>
  <si>
    <t xml:space="preserve">1 = soldado CJP</t>
  </si>
  <si>
    <t xml:space="preserve">fresado</t>
  </si>
  <si>
    <t xml:space="preserve">1 = extremos fresados (apoyo por contacto)</t>
  </si>
  <si>
    <t xml:space="preserve">×D2.5</t>
  </si>
  <si>
    <t xml:space="preserve">Factor de demanda para PJP en diseño sísmico (2.0)</t>
  </si>
  <si>
    <t xml:space="preserve">E</t>
  </si>
  <si>
    <t xml:space="preserve">Módulo de elasticidad</t>
  </si>
  <si>
    <t xml:space="preserve">du</t>
  </si>
  <si>
    <t xml:space="preserve">Peralte</t>
  </si>
  <si>
    <t xml:space="preserve">bfu</t>
  </si>
  <si>
    <t xml:space="preserve">Ala</t>
  </si>
  <si>
    <t xml:space="preserve">twu</t>
  </si>
  <si>
    <t xml:space="preserve">Alma</t>
  </si>
  <si>
    <t xml:space="preserve">tfu</t>
  </si>
  <si>
    <t xml:space="preserve">dl</t>
  </si>
  <si>
    <t xml:space="preserve">bfl</t>
  </si>
  <si>
    <t xml:space="preserve">twl</t>
  </si>
  <si>
    <t xml:space="preserve">tfl</t>
  </si>
  <si>
    <t xml:space="preserve">Af</t>
  </si>
  <si>
    <t xml:space="preserve">bf·tf (superior)</t>
  </si>
  <si>
    <t xml:space="preserve">A</t>
  </si>
  <si>
    <t xml:space="preserve">Área (superior)</t>
  </si>
  <si>
    <t xml:space="preserve">Aw</t>
  </si>
  <si>
    <t xml:space="preserve">A − 2Af</t>
  </si>
  <si>
    <t xml:space="preserve">Fy,mín</t>
  </si>
  <si>
    <t xml:space="preserve">Menor Fy de las columnas</t>
  </si>
  <si>
    <t xml:space="preserve">Fu,mín</t>
  </si>
  <si>
    <t xml:space="preserve">Menor Fu de las columnas</t>
  </si>
  <si>
    <t xml:space="preserve">solape</t>
  </si>
  <si>
    <t xml:space="preserve">Solape de alas para apoyo: mín(du, dl)/2 − máx(du/2 − tfu, dl/2 − tfl)</t>
  </si>
  <si>
    <t xml:space="preserve">Aapoyo</t>
  </si>
  <si>
    <t xml:space="preserve">2·mín(bf)·solape + mín(tw)·(du − 2tfu)</t>
  </si>
  <si>
    <t xml:space="preserve">φRn</t>
  </si>
  <si>
    <t xml:space="preserve">Apoyo por contacto en superficies fresadas: 0.75·1.8·Fy·Aapoyo (J7a)</t>
  </si>
  <si>
    <t xml:space="preserve">kgf</t>
  </si>
  <si>
    <t xml:space="preserve">SC</t>
  </si>
  <si>
    <t xml:space="preserve">1 = deslizamiento crítico</t>
  </si>
  <si>
    <t xml:space="preserve">μ</t>
  </si>
  <si>
    <t xml:space="preserve">0.30 / 0.50</t>
  </si>
  <si>
    <t xml:space="preserve">1. PLACAS Y PERNOS DE ALA (apernado)</t>
  </si>
  <si>
    <t xml:space="preserve">db</t>
  </si>
  <si>
    <t xml:space="preserve">Diámetro pernos de ala</t>
  </si>
  <si>
    <t xml:space="preserve">in</t>
  </si>
  <si>
    <t xml:space="preserve">Ab</t>
  </si>
  <si>
    <t xml:space="preserve">π·db²/4</t>
  </si>
  <si>
    <t xml:space="preserve">dh</t>
  </si>
  <si>
    <t xml:space="preserve">Agujero estándar (Tabla J3.3)</t>
  </si>
  <si>
    <t xml:space="preserve">dh,net</t>
  </si>
  <si>
    <t xml:space="preserve">dh + 1/16 in (B4.3b)</t>
  </si>
  <si>
    <t xml:space="preserve">Le,min</t>
  </si>
  <si>
    <t xml:space="preserve">Borde mínimo (Tabla J3.4)</t>
  </si>
  <si>
    <t xml:space="preserve">Fnv</t>
  </si>
  <si>
    <t xml:space="preserve">Resistencia a corte</t>
  </si>
  <si>
    <t xml:space="preserve">Tb</t>
  </si>
  <si>
    <t xml:space="preserve">Pretensión mínima (Tabla J3.1)</t>
  </si>
  <si>
    <t xml:space="preserve">n</t>
  </si>
  <si>
    <t xml:space="preserve">Pernos por ala por lado = 2·filas</t>
  </si>
  <si>
    <t xml:space="preserve">fill</t>
  </si>
  <si>
    <t xml:space="preserve">J5.2: factor por relleno 1 − 0.0154(t − 6) [mm], 6 &lt; t ≤ 19 (aplastamiento)</t>
  </si>
  <si>
    <t xml:space="preserve">φrn</t>
  </si>
  <si>
    <t xml:space="preserve">Por perno: 0.75·Fnv·Ab·fill ; deslizamiento 1.0·μ·1.13·hf·Tb (hf = 1, un relleno)</t>
  </si>
  <si>
    <t xml:space="preserve">φrn,v</t>
  </si>
  <si>
    <t xml:space="preserve">Corte del perno con reducción por relleno</t>
  </si>
  <si>
    <t xml:space="preserve">Aplastamiento por perno en ala de columna superior: 0.75·mín(1.2(Le − dh/2) ; 1.2(s − dh) ; 2.4db)·tf·Fu</t>
  </si>
  <si>
    <t xml:space="preserve">Aplastamiento por perno en placa</t>
  </si>
  <si>
    <t xml:space="preserve">Ag</t>
  </si>
  <si>
    <t xml:space="preserve">b·t de placa</t>
  </si>
  <si>
    <t xml:space="preserve">Fluencia en tracción 0.90·Fy·Ag</t>
  </si>
  <si>
    <t xml:space="preserve">Ruptura 0.75·Fu·mín(An ; 0.85Ag)</t>
  </si>
  <si>
    <t xml:space="preserve">Bloque de cortante de placa: mín(bloques exteriores ; central)</t>
  </si>
  <si>
    <t xml:space="preserve">KL/r</t>
  </si>
  <si>
    <t xml:space="preserve">0.65·(gap + 2·Le,col)/(t/√12)</t>
  </si>
  <si>
    <t xml:space="preserve">Fcr</t>
  </si>
  <si>
    <t xml:space="preserve">KL/r ≤ 25: Fy ; si no Cap. E</t>
  </si>
  <si>
    <t xml:space="preserve">φPn</t>
  </si>
  <si>
    <t xml:space="preserve">Compresión de placa 0.90·Fcr·Ag (J4.4)</t>
  </si>
  <si>
    <t xml:space="preserve">Ala de columna superior: ruptura en tracción 0.75·Fu·(bf − 2dh,n)·tf</t>
  </si>
  <si>
    <t xml:space="preserve">Ala de columna superior: bloque de cortante (bloques exteriores)</t>
  </si>
  <si>
    <t xml:space="preserve">2. ALMA (apernado)</t>
  </si>
  <si>
    <t xml:space="preserve">Diámetro pernos de alma</t>
  </si>
  <si>
    <t xml:space="preserve">Pernos por lado = nr·nc</t>
  </si>
  <si>
    <t xml:space="preserve">e</t>
  </si>
  <si>
    <t xml:space="preserve">gap/2 + Le + (nr − 1)·sv/2 (a lo largo de la columna)</t>
  </si>
  <si>
    <t xml:space="preserve">Ip</t>
  </si>
  <si>
    <t xml:space="preserve">Σx² + Σy²</t>
  </si>
  <si>
    <t xml:space="preserve">xmáx</t>
  </si>
  <si>
    <t xml:space="preserve">sh·(nc − 1)/2</t>
  </si>
  <si>
    <t xml:space="preserve">ymáx</t>
  </si>
  <si>
    <t xml:space="preserve">sv·(nr − 1)/2</t>
  </si>
  <si>
    <t xml:space="preserve">Por perno (2 planos)</t>
  </si>
  <si>
    <t xml:space="preserve">Corte del perno (2 planos)</t>
  </si>
  <si>
    <t xml:space="preserve">Aplastamiento por perno: mín(alma de columna superior ; 2 placas)</t>
  </si>
  <si>
    <t xml:space="preserve">φVn</t>
  </si>
  <si>
    <t xml:space="preserve">Placas: fluencia por corte 1.00·0.6·Fy·2·b·t</t>
  </si>
  <si>
    <t xml:space="preserve">Placas: ruptura por corte 0.75·0.6·Fu·2·(b − nc·dh,n)·t</t>
  </si>
  <si>
    <t xml:space="preserve">Placas: axial 0.90·Fy·2·b·t</t>
  </si>
  <si>
    <t xml:space="preserve">3. SOLDADURAS PJP / CJP — Tabla J2.5</t>
  </si>
  <si>
    <t xml:space="preserve">FEXX</t>
  </si>
  <si>
    <t xml:space="preserve">Alas, tracción normal: PJP mín(0.80·0.6·FEXX ; 0.75·Fu)·E·bf ; CJP 0.90·Fy·bf·tf</t>
  </si>
  <si>
    <t xml:space="preserve">Alas, compresión (sin fresar): PJP mín(0.80·0.6·FEXX ; 0.90·Fy)·E·bf ; CJP 0.90·Fy·bf·tf</t>
  </si>
  <si>
    <t xml:space="preserve">Alma, corte: PJP 0.75·0.6·FEXX·E·(d − 2tf) ; CJP 1.00·0.6·Fy·tw·(d − 2tf)</t>
  </si>
  <si>
    <t xml:space="preserve">Emín</t>
  </si>
  <si>
    <t xml:space="preserve">Garganta mínima PJP (Tabla J2.3) según el ala más delgada</t>
  </si>
  <si>
    <t xml:space="preserve">4. VERIFICACIÓN POR COMBINACIÓN</t>
  </si>
  <si>
    <t xml:space="preserve">Símbolo</t>
  </si>
  <si>
    <t xml:space="preserve">Descripción</t>
  </si>
  <si>
    <t xml:space="preserve">Nombre</t>
  </si>
  <si>
    <t xml:space="preserve">Pu</t>
  </si>
  <si>
    <t xml:space="preserve">Axial (+ compresión)</t>
  </si>
  <si>
    <t xml:space="preserve">Mu</t>
  </si>
  <si>
    <t xml:space="preserve">|Momento|</t>
  </si>
  <si>
    <t xml:space="preserve">kgf·cm</t>
  </si>
  <si>
    <t xml:space="preserve">Vu</t>
  </si>
  <si>
    <t xml:space="preserve">|Cortante|</t>
  </si>
  <si>
    <t xml:space="preserve">activo</t>
  </si>
  <si>
    <t xml:space="preserve">Combinación con cargas</t>
  </si>
  <si>
    <t xml:space="preserve">FM</t>
  </si>
  <si>
    <t xml:space="preserve">Mu/(d − tf)</t>
  </si>
  <si>
    <t xml:space="preserve">Pf</t>
  </si>
  <si>
    <t xml:space="preserve">Pu·Af/A (+ compresión)</t>
  </si>
  <si>
    <t xml:space="preserve">T</t>
  </si>
  <si>
    <t xml:space="preserve">Tracción en el ala: máx(0, FM − Pf)</t>
  </si>
  <si>
    <t xml:space="preserve">C</t>
  </si>
  <si>
    <t xml:space="preserve">Compresión en el ala a transmitir por el empalme: 0 si fresado ; máx(0, FM + Pf)</t>
  </si>
  <si>
    <t xml:space="preserve">Fp</t>
  </si>
  <si>
    <t xml:space="preserve">Fuerza de diseño del ala: máx(T ; C)</t>
  </si>
  <si>
    <t xml:space="preserve">Pw</t>
  </si>
  <si>
    <t xml:space="preserve">Axial en el alma a transmitir: tracción, o compresión si no está fresado</t>
  </si>
  <si>
    <t xml:space="preserve">ratio</t>
  </si>
  <si>
    <t xml:space="preserve">Apoyo por contacto (fresado, Pu &gt; 0)</t>
  </si>
  <si>
    <t xml:space="preserve">Pernos de ala: corte / deslizamiento</t>
  </si>
  <si>
    <t xml:space="preserve">Pernos de ala: aplastamiento</t>
  </si>
  <si>
    <t xml:space="preserve">Placa de ala: fluencia</t>
  </si>
  <si>
    <t xml:space="preserve">Placa de ala: ruptura</t>
  </si>
  <si>
    <t xml:space="preserve">Placa de ala: bloque de cortante</t>
  </si>
  <si>
    <t xml:space="preserve">Placa de ala: compresión (sin fresar)</t>
  </si>
  <si>
    <t xml:space="preserve">Ala de columna superior: ruptura neta</t>
  </si>
  <si>
    <t xml:space="preserve">Ala de columna superior: bloque de cortante</t>
  </si>
  <si>
    <t xml:space="preserve">Mw</t>
  </si>
  <si>
    <t xml:space="preserve">Momento en grupo de alma = Vu·e</t>
  </si>
  <si>
    <t xml:space="preserve">rmáx</t>
  </si>
  <si>
    <t xml:space="preserve">Perno crítico de alma: √((V/n + M·ymáx/Ip)² + (M·xmáx/Ip + Pw/n)²)</t>
  </si>
  <si>
    <t xml:space="preserve">Pernos de alma: corte / deslizamiento</t>
  </si>
  <si>
    <t xml:space="preserve">Pernos de alma: aplastamiento</t>
  </si>
  <si>
    <t xml:space="preserve">Placas de alma: corte y axial</t>
  </si>
  <si>
    <t xml:space="preserve">Soldadura de alas (×2 si PJP sísmico)</t>
  </si>
  <si>
    <t xml:space="preserve">Soldadura de alma a corte (×2 si PJP sísmico)</t>
  </si>
  <si>
    <t xml:space="preserve">máx.</t>
  </si>
  <si>
    <t xml:space="preserve">CATÁLOGOS — ampliables agregando filas dentro de cada rango</t>
  </si>
  <si>
    <t xml:space="preserve">Perfiles (VK/HA: KUBIEC; W: AISC; ARMADO: medidas manuales)</t>
  </si>
  <si>
    <t xml:space="preserve">Aceros (kgf/cm²)</t>
  </si>
  <si>
    <t xml:space="preserve">Pernos (kgf/cm²) — Tabla J3.2 ; grupo para Tb</t>
  </si>
  <si>
    <t xml:space="preserve">Diámetros — borde mín. J3.4 ; Tb (kgf) Tabla J3.1</t>
  </si>
  <si>
    <t xml:space="preserve">Opción</t>
  </si>
  <si>
    <t xml:space="preserve">Tipo de junta apernada</t>
  </si>
  <si>
    <t xml:space="preserve">Espesores (mm)</t>
  </si>
  <si>
    <t xml:space="preserve">Perfil</t>
  </si>
  <si>
    <t xml:space="preserve">d</t>
  </si>
  <si>
    <t xml:space="preserve">bf</t>
  </si>
  <si>
    <t xml:space="preserve">tw</t>
  </si>
  <si>
    <t xml:space="preserve">tf</t>
  </si>
  <si>
    <t xml:space="preserve">Fy</t>
  </si>
  <si>
    <t xml:space="preserve">Fu</t>
  </si>
  <si>
    <t xml:space="preserve">Grupo</t>
  </si>
  <si>
    <t xml:space="preserve">Ø</t>
  </si>
  <si>
    <t xml:space="preserve">db (in)</t>
  </si>
  <si>
    <t xml:space="preserve">borde (in)</t>
  </si>
  <si>
    <t xml:space="preserve">Tb A325</t>
  </si>
  <si>
    <t xml:space="preserve">Tb A490</t>
  </si>
  <si>
    <t xml:space="preserve">Sí/No</t>
  </si>
  <si>
    <t xml:space="preserve">Junta</t>
  </si>
  <si>
    <t xml:space="preserve">t</t>
  </si>
  <si>
    <t xml:space="preserve">ARMADO (flejes soldados)</t>
  </si>
  <si>
    <t xml:space="preserve">5/8"</t>
  </si>
  <si>
    <t xml:space="preserve">E60XX</t>
  </si>
  <si>
    <t xml:space="preserve">VK250X130X4X8</t>
  </si>
  <si>
    <t xml:space="preserve">A325-X (roscas excl.)</t>
  </si>
  <si>
    <t xml:space="preserve">No</t>
  </si>
  <si>
    <t xml:space="preserve">Deslizamiento crítico clase A (μ = 0.30)</t>
  </si>
  <si>
    <t xml:space="preserve">VK300X150X4X10</t>
  </si>
  <si>
    <t xml:space="preserve">A992</t>
  </si>
  <si>
    <t xml:space="preserve">A490-N (roscas incl.)</t>
  </si>
  <si>
    <t xml:space="preserve">B</t>
  </si>
  <si>
    <t xml:space="preserve">7/8"</t>
  </si>
  <si>
    <t xml:space="preserve">Deslizamiento crítico clase B (μ = 0.50)</t>
  </si>
  <si>
    <t xml:space="preserve">VK330X160X6X10</t>
  </si>
  <si>
    <t xml:space="preserve">A588 Gr50</t>
  </si>
  <si>
    <t xml:space="preserve">A490-X (roscas excl.)</t>
  </si>
  <si>
    <t xml:space="preserve">1"</t>
  </si>
  <si>
    <t xml:space="preserve">VK360X180X6X10</t>
  </si>
  <si>
    <t xml:space="preserve">1-1/8"</t>
  </si>
  <si>
    <t xml:space="preserve">VK400X180X6X10</t>
  </si>
  <si>
    <t xml:space="preserve">1-1/4"</t>
  </si>
  <si>
    <t xml:space="preserve">VK400X180X6X12</t>
  </si>
  <si>
    <t xml:space="preserve">VK420X180X6X12</t>
  </si>
  <si>
    <t xml:space="preserve">VK440X180X6X12</t>
  </si>
  <si>
    <t xml:space="preserve">HA200X140X6X12</t>
  </si>
  <si>
    <t xml:space="preserve">HA240X180X6X12</t>
  </si>
  <si>
    <t xml:space="preserve">HA300X180X6X12</t>
  </si>
  <si>
    <t xml:space="preserve">HA360X180X6X12</t>
  </si>
  <si>
    <t xml:space="preserve">HA380X200X8X15</t>
  </si>
  <si>
    <t xml:space="preserve">HA440X220X8X15</t>
  </si>
  <si>
    <t xml:space="preserve">HA460X230X8X15</t>
  </si>
  <si>
    <t xml:space="preserve">HA480X240X8X15</t>
  </si>
  <si>
    <t xml:space="preserve">HA500X250X10X15</t>
  </si>
  <si>
    <t xml:space="preserve">HA520X260X10X15</t>
  </si>
  <si>
    <t xml:space="preserve">HA540X270X10X15</t>
  </si>
  <si>
    <t xml:space="preserve">W8X31</t>
  </si>
  <si>
    <t xml:space="preserve">W10X49</t>
  </si>
  <si>
    <t xml:space="preserve">W12X65</t>
  </si>
  <si>
    <t xml:space="preserve">W14X90</t>
  </si>
  <si>
    <t xml:space="preserve">W14X120</t>
  </si>
  <si>
    <t xml:space="preserve">W16X40</t>
  </si>
  <si>
    <t xml:space="preserve">W18X50</t>
  </si>
  <si>
    <t xml:space="preserve">W21X62</t>
  </si>
  <si>
    <t xml:space="preserve">W24X76</t>
  </si>
  <si>
    <t xml:space="preserve">Coordenadas de las vistas (normalizadas a ±1). No editar.</t>
  </si>
  <si>
    <t xml:space="preserve">Col inf ala</t>
  </si>
  <si>
    <t xml:space="preserve">Col sup ala</t>
  </si>
  <si>
    <t xml:space="preserve">Placa ala</t>
  </si>
  <si>
    <t xml:space="preserve">Relleno</t>
  </si>
  <si>
    <t xml:space="preserve">Col inf ala-</t>
  </si>
  <si>
    <t xml:space="preserve">Col sup ala-</t>
  </si>
  <si>
    <t xml:space="preserve">Placa ala-</t>
  </si>
  <si>
    <t xml:space="preserve">Relleno-</t>
  </si>
  <si>
    <t xml:space="preserve">Placa alma</t>
  </si>
  <si>
    <t xml:space="preserve">Soldadura</t>
  </si>
  <si>
    <t xml:space="preserve">Pernos ala</t>
  </si>
  <si>
    <t xml:space="preserve">Pernos alma</t>
  </si>
  <si>
    <t xml:space="preserve">Col inferior</t>
  </si>
  <si>
    <t xml:space="preserve">Col superior</t>
  </si>
  <si>
    <t xml:space="preserve">Placa</t>
  </si>
  <si>
    <t xml:space="preserve">Relleno s</t>
  </si>
  <si>
    <t xml:space="preserve">Placa-</t>
  </si>
  <si>
    <t xml:space="preserve">Relleno s-</t>
  </si>
  <si>
    <t xml:space="preserve">Alma-</t>
  </si>
  <si>
    <t xml:space="preserve">Largo placa de ala</t>
  </si>
  <si>
    <t xml:space="preserve">Largo placa de alma</t>
  </si>
  <si>
    <t xml:space="preserve">Semialto dibujado</t>
  </si>
  <si>
    <t xml:space="preserve">S elevación</t>
  </si>
  <si>
    <t xml:space="preserve">S sección</t>
  </si>
  <si>
    <t xml:space="preserve">gap/2 (mín. 0.2 cm para dibujo)</t>
  </si>
  <si>
    <t xml:space="preserve">x placa (cara exterior de ala inferior)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</si>
</sst>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"/>
    <numFmt numFmtId="168" formatCode="General"/>
    <numFmt numFmtId="169" formatCode="0.000"/>
    <numFmt numFmtId="170" formatCode=";;;"/>
    <numFmt numFmtId="171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.5"/>
      <name val="Arial"/>
      <family val="0"/>
      <charset val="1"/>
    </font>
    <font>
      <sz val="8"/>
      <color rgb="FF999999"/>
      <name val="Arial"/>
      <family val="0"/>
      <charset val="1"/>
    </font>
    <font>
      <sz val="8.5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A0A0A0"/>
      </font>
      <fill>
        <patternFill>
          <bgColor rgb="FFE7E7E7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A0A0A0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999999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"Col inf ala"</c:f>
              <c:strCache>
                <c:ptCount val="1"/>
                <c:pt idx="0">
                  <c:v>Col inf ala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DIBUJO!$D$4:$D$7</c:f>
              <c:numCache>
                <c:formatCode>General</c:formatCode>
                <c:ptCount val="4"/>
                <c:pt idx="0">
                  <c:v>0.500625782227785</c:v>
                </c:pt>
                <c:pt idx="1">
                  <c:v>0.500625782227785</c:v>
                </c:pt>
                <c:pt idx="2">
                  <c:v>0.464866797782943</c:v>
                </c:pt>
                <c:pt idx="3">
                  <c:v>0.464866797782943</c:v>
                </c:pt>
              </c:numCache>
            </c:numRef>
          </c:xVal>
          <c:yVal>
            <c:numRef>
              <c:f>DIBUJO!$E$4:$E$7</c:f>
              <c:numCache>
                <c:formatCode>General</c:formatCode>
                <c:ptCount val="4"/>
                <c:pt idx="0">
                  <c:v>-0.952380952380952</c:v>
                </c:pt>
                <c:pt idx="1">
                  <c:v>-0.00476786459264557</c:v>
                </c:pt>
                <c:pt idx="2">
                  <c:v>-0.00476786459264557</c:v>
                </c:pt>
                <c:pt idx="3">
                  <c:v>-0.952380952380952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"Col sup ala"</c:f>
              <c:strCache>
                <c:ptCount val="1"/>
                <c:pt idx="0">
                  <c:v>Col sup ala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DIBUJO!$G$4:$G$7</c:f>
              <c:numCache>
                <c:formatCode>General</c:formatCode>
                <c:ptCount val="4"/>
                <c:pt idx="0">
                  <c:v>0.476786459264557</c:v>
                </c:pt>
                <c:pt idx="1">
                  <c:v>0.476786459264557</c:v>
                </c:pt>
                <c:pt idx="2">
                  <c:v>0.441027474819715</c:v>
                </c:pt>
                <c:pt idx="3">
                  <c:v>0.441027474819715</c:v>
                </c:pt>
              </c:numCache>
            </c:numRef>
          </c:xVal>
          <c:yVal>
            <c:numRef>
              <c:f>DIBUJO!$H$4:$H$7</c:f>
              <c:numCache>
                <c:formatCode>General</c:formatCode>
                <c:ptCount val="4"/>
                <c:pt idx="0">
                  <c:v>0.952380952380952</c:v>
                </c:pt>
                <c:pt idx="1">
                  <c:v>0.00476786459264557</c:v>
                </c:pt>
                <c:pt idx="2">
                  <c:v>0.00476786459264557</c:v>
                </c:pt>
                <c:pt idx="3">
                  <c:v>0.952380952380952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"Placa ala"</c:f>
              <c:strCache>
                <c:ptCount val="1"/>
                <c:pt idx="0">
                  <c:v>Placa ala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DIBUJO!$J$4:$J$8</c:f>
              <c:numCache>
                <c:formatCode>General</c:formatCode>
                <c:ptCount val="5"/>
                <c:pt idx="0">
                  <c:v>0.500625782227785</c:v>
                </c:pt>
                <c:pt idx="1">
                  <c:v>0.500625782227785</c:v>
                </c:pt>
                <c:pt idx="2">
                  <c:v>0.529232969783658</c:v>
                </c:pt>
                <c:pt idx="3">
                  <c:v>0.529232969783658</c:v>
                </c:pt>
                <c:pt idx="4">
                  <c:v>0.500625782227785</c:v>
                </c:pt>
              </c:numCache>
            </c:numRef>
          </c:xVal>
          <c:yVal>
            <c:numRef>
              <c:f>DIBUJO!$K$4:$K$8</c:f>
              <c:numCache>
                <c:formatCode>General</c:formatCode>
                <c:ptCount val="5"/>
                <c:pt idx="0">
                  <c:v>-0.551880326598725</c:v>
                </c:pt>
                <c:pt idx="1">
                  <c:v>0.551880326598725</c:v>
                </c:pt>
                <c:pt idx="2">
                  <c:v>0.551880326598725</c:v>
                </c:pt>
                <c:pt idx="3">
                  <c:v>-0.551880326598725</c:v>
                </c:pt>
                <c:pt idx="4">
                  <c:v>-0.551880326598725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"Relleno"</c:f>
              <c:strCache>
                <c:ptCount val="1"/>
                <c:pt idx="0">
                  <c:v>Relleno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DIBUJO!$M$4:$M$8</c:f>
              <c:numCache>
                <c:formatCode>General</c:formatCode>
                <c:ptCount val="5"/>
                <c:pt idx="0">
                  <c:v>0.476786459264557</c:v>
                </c:pt>
                <c:pt idx="1">
                  <c:v>0.476786459264557</c:v>
                </c:pt>
                <c:pt idx="2">
                  <c:v>0.500625782227785</c:v>
                </c:pt>
                <c:pt idx="3">
                  <c:v>0.500625782227785</c:v>
                </c:pt>
                <c:pt idx="4">
                  <c:v>0.476786459264557</c:v>
                </c:pt>
              </c:numCache>
            </c:numRef>
          </c:xVal>
          <c:yVal>
            <c:numRef>
              <c:f>DIBUJO!$N$4:$N$8</c:f>
              <c:numCache>
                <c:formatCode>General</c:formatCode>
                <c:ptCount val="5"/>
                <c:pt idx="0">
                  <c:v>0.00476786459264557</c:v>
                </c:pt>
                <c:pt idx="1">
                  <c:v>0.551880326598725</c:v>
                </c:pt>
                <c:pt idx="2">
                  <c:v>0.551880326598725</c:v>
                </c:pt>
                <c:pt idx="3">
                  <c:v>0.00476786459264557</c:v>
                </c:pt>
                <c:pt idx="4">
                  <c:v>0.00476786459264557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"Col inf ala-"</c:f>
              <c:strCache>
                <c:ptCount val="1"/>
                <c:pt idx="0">
                  <c:v>Col inf ala-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DIBUJO!$P$4:$P$7</c:f>
              <c:numCache>
                <c:formatCode>General</c:formatCode>
                <c:ptCount val="4"/>
                <c:pt idx="0">
                  <c:v>-0.500625782227785</c:v>
                </c:pt>
                <c:pt idx="1">
                  <c:v>-0.500625782227785</c:v>
                </c:pt>
                <c:pt idx="2">
                  <c:v>-0.464866797782943</c:v>
                </c:pt>
                <c:pt idx="3">
                  <c:v>-0.464866797782943</c:v>
                </c:pt>
              </c:numCache>
            </c:numRef>
          </c:xVal>
          <c:yVal>
            <c:numRef>
              <c:f>DIBUJO!$Q$4:$Q$7</c:f>
              <c:numCache>
                <c:formatCode>General</c:formatCode>
                <c:ptCount val="4"/>
                <c:pt idx="0">
                  <c:v>-0.952380952380952</c:v>
                </c:pt>
                <c:pt idx="1">
                  <c:v>-0.00476786459264557</c:v>
                </c:pt>
                <c:pt idx="2">
                  <c:v>-0.00476786459264557</c:v>
                </c:pt>
                <c:pt idx="3">
                  <c:v>-0.952380952380952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"Col sup ala-"</c:f>
              <c:strCache>
                <c:ptCount val="1"/>
                <c:pt idx="0">
                  <c:v>Col sup ala-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DIBUJO!$S$4:$S$7</c:f>
              <c:numCache>
                <c:formatCode>General</c:formatCode>
                <c:ptCount val="4"/>
                <c:pt idx="0">
                  <c:v>-0.476786459264557</c:v>
                </c:pt>
                <c:pt idx="1">
                  <c:v>-0.476786459264557</c:v>
                </c:pt>
                <c:pt idx="2">
                  <c:v>-0.441027474819715</c:v>
                </c:pt>
                <c:pt idx="3">
                  <c:v>-0.441027474819715</c:v>
                </c:pt>
              </c:numCache>
            </c:numRef>
          </c:xVal>
          <c:yVal>
            <c:numRef>
              <c:f>DIBUJO!$T$4:$T$7</c:f>
              <c:numCache>
                <c:formatCode>General</c:formatCode>
                <c:ptCount val="4"/>
                <c:pt idx="0">
                  <c:v>0.952380952380952</c:v>
                </c:pt>
                <c:pt idx="1">
                  <c:v>0.00476786459264557</c:v>
                </c:pt>
                <c:pt idx="2">
                  <c:v>0.00476786459264557</c:v>
                </c:pt>
                <c:pt idx="3">
                  <c:v>0.952380952380952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"Placa ala-"</c:f>
              <c:strCache>
                <c:ptCount val="1"/>
                <c:pt idx="0">
                  <c:v>Placa ala-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DIBUJO!$V$4:$V$8</c:f>
              <c:numCache>
                <c:formatCode>General</c:formatCode>
                <c:ptCount val="5"/>
                <c:pt idx="0">
                  <c:v>-0.500625782227785</c:v>
                </c:pt>
                <c:pt idx="1">
                  <c:v>-0.500625782227785</c:v>
                </c:pt>
                <c:pt idx="2">
                  <c:v>-0.529232969783658</c:v>
                </c:pt>
                <c:pt idx="3">
                  <c:v>-0.529232969783658</c:v>
                </c:pt>
                <c:pt idx="4">
                  <c:v>-0.500625782227785</c:v>
                </c:pt>
              </c:numCache>
            </c:numRef>
          </c:xVal>
          <c:yVal>
            <c:numRef>
              <c:f>DIBUJO!$W$4:$W$8</c:f>
              <c:numCache>
                <c:formatCode>General</c:formatCode>
                <c:ptCount val="5"/>
                <c:pt idx="0">
                  <c:v>-0.551880326598725</c:v>
                </c:pt>
                <c:pt idx="1">
                  <c:v>0.551880326598725</c:v>
                </c:pt>
                <c:pt idx="2">
                  <c:v>0.551880326598725</c:v>
                </c:pt>
                <c:pt idx="3">
                  <c:v>-0.551880326598725</c:v>
                </c:pt>
                <c:pt idx="4">
                  <c:v>-0.551880326598725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"Relleno-"</c:f>
              <c:strCache>
                <c:ptCount val="1"/>
                <c:pt idx="0">
                  <c:v>Relleno-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DIBUJO!$Y$4:$Y$8</c:f>
              <c:numCache>
                <c:formatCode>General</c:formatCode>
                <c:ptCount val="5"/>
                <c:pt idx="0">
                  <c:v>-0.476786459264557</c:v>
                </c:pt>
                <c:pt idx="1">
                  <c:v>-0.476786459264557</c:v>
                </c:pt>
                <c:pt idx="2">
                  <c:v>-0.500625782227785</c:v>
                </c:pt>
                <c:pt idx="3">
                  <c:v>-0.500625782227785</c:v>
                </c:pt>
                <c:pt idx="4">
                  <c:v>-0.476786459264557</c:v>
                </c:pt>
              </c:numCache>
            </c:numRef>
          </c:xVal>
          <c:yVal>
            <c:numRef>
              <c:f>DIBUJO!$Z$4:$Z$8</c:f>
              <c:numCache>
                <c:formatCode>General</c:formatCode>
                <c:ptCount val="5"/>
                <c:pt idx="0">
                  <c:v>0.00476786459264557</c:v>
                </c:pt>
                <c:pt idx="1">
                  <c:v>0.551880326598725</c:v>
                </c:pt>
                <c:pt idx="2">
                  <c:v>0.551880326598725</c:v>
                </c:pt>
                <c:pt idx="3">
                  <c:v>0.00476786459264557</c:v>
                </c:pt>
                <c:pt idx="4">
                  <c:v>0.00476786459264557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"Placa alma"</c:f>
              <c:strCache>
                <c:ptCount val="1"/>
                <c:pt idx="0">
                  <c:v>Placa alma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DIBUJO!$AB$4:$AB$8</c:f>
              <c:numCache>
                <c:formatCode>General</c:formatCode>
                <c:ptCount val="5"/>
                <c:pt idx="0">
                  <c:v>-0.238393229632278</c:v>
                </c:pt>
                <c:pt idx="1">
                  <c:v>-0.238393229632278</c:v>
                </c:pt>
                <c:pt idx="2">
                  <c:v>0.238393229632278</c:v>
                </c:pt>
                <c:pt idx="3">
                  <c:v>0.238393229632278</c:v>
                </c:pt>
                <c:pt idx="4">
                  <c:v>-0.238393229632278</c:v>
                </c:pt>
              </c:numCache>
            </c:numRef>
          </c:xVal>
          <c:yVal>
            <c:numRef>
              <c:f>DIBUJO!$AC$4:$AC$8</c:f>
              <c:numCache>
                <c:formatCode>General</c:formatCode>
                <c:ptCount val="5"/>
                <c:pt idx="0">
                  <c:v>-0.373085404374516</c:v>
                </c:pt>
                <c:pt idx="1">
                  <c:v>0.373085404374516</c:v>
                </c:pt>
                <c:pt idx="2">
                  <c:v>0.373085404374516</c:v>
                </c:pt>
                <c:pt idx="3">
                  <c:v>-0.373085404374516</c:v>
                </c:pt>
                <c:pt idx="4">
                  <c:v>-0.373085404374516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"Soldadura"</c:f>
              <c:strCache>
                <c:ptCount val="1"/>
                <c:pt idx="0">
                  <c:v>Soldadura</c:v>
                </c:pt>
              </c:strCache>
            </c:strRef>
          </c:tx>
          <c:spPr>
            <a:solidFill>
              <a:srgbClr val="c00000"/>
            </a:solidFill>
            <a:ln w="38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DIBUJO!$AE$4:$AE$5</c:f>
              <c:numCache>
                <c:formatCode>General</c:formatCode>
                <c:ptCount val="2"/>
                <c:pt idx="0">
                  <c:v>-0</c:v>
                </c:pt>
                <c:pt idx="1">
                  <c:v>0</c:v>
                </c:pt>
              </c:numCache>
            </c:numRef>
          </c:xVal>
          <c:yVal>
            <c:numRef>
              <c:f>DIBUJO!$AF$4:$AF$5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"Pernos ala"</c:f>
              <c:strCache>
                <c:ptCount val="1"/>
                <c:pt idx="0">
                  <c:v>Pernos ala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9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DIBUJO!$AH$4:$AH$35</c:f>
              <c:numCache>
                <c:formatCode>General</c:formatCode>
                <c:ptCount val="32"/>
                <c:pt idx="0">
                  <c:v>0.500625782227785</c:v>
                </c:pt>
                <c:pt idx="1">
                  <c:v>0.500625782227785</c:v>
                </c:pt>
                <c:pt idx="2">
                  <c:v>0.500625782227785</c:v>
                </c:pt>
                <c:pt idx="3">
                  <c:v>0.500625782227785</c:v>
                </c:pt>
                <c:pt idx="4">
                  <c:v>0.500625782227785</c:v>
                </c:pt>
                <c:pt idx="5">
                  <c:v>0.500625782227785</c:v>
                </c:pt>
                <c:pt idx="6">
                  <c:v>0.500625782227785</c:v>
                </c:pt>
                <c:pt idx="7">
                  <c:v>0.500625782227785</c:v>
                </c:pt>
                <c:pt idx="8">
                  <c:v>0.500625782227785</c:v>
                </c:pt>
                <c:pt idx="9">
                  <c:v>0.500625782227785</c:v>
                </c:pt>
                <c:pt idx="10">
                  <c:v>0.500625782227785</c:v>
                </c:pt>
                <c:pt idx="11">
                  <c:v>0.500625782227785</c:v>
                </c:pt>
                <c:pt idx="12">
                  <c:v>0.500625782227785</c:v>
                </c:pt>
                <c:pt idx="13">
                  <c:v>0.500625782227785</c:v>
                </c:pt>
                <c:pt idx="14">
                  <c:v>0.500625782227785</c:v>
                </c:pt>
                <c:pt idx="15">
                  <c:v>0.500625782227785</c:v>
                </c:pt>
                <c:pt idx="16">
                  <c:v>-0.500625782227785</c:v>
                </c:pt>
                <c:pt idx="17">
                  <c:v>-0.500625782227785</c:v>
                </c:pt>
                <c:pt idx="18">
                  <c:v>-0.500625782227785</c:v>
                </c:pt>
                <c:pt idx="19">
                  <c:v>-0.500625782227785</c:v>
                </c:pt>
                <c:pt idx="20">
                  <c:v>-0.500625782227785</c:v>
                </c:pt>
                <c:pt idx="21">
                  <c:v>-0.500625782227785</c:v>
                </c:pt>
                <c:pt idx="22">
                  <c:v>-0.500625782227785</c:v>
                </c:pt>
                <c:pt idx="23">
                  <c:v>-0.500625782227785</c:v>
                </c:pt>
                <c:pt idx="24">
                  <c:v>-0.500625782227785</c:v>
                </c:pt>
                <c:pt idx="25">
                  <c:v>-0.500625782227785</c:v>
                </c:pt>
                <c:pt idx="26">
                  <c:v>-0.500625782227785</c:v>
                </c:pt>
                <c:pt idx="27">
                  <c:v>-0.500625782227785</c:v>
                </c:pt>
                <c:pt idx="28">
                  <c:v>-0.500625782227785</c:v>
                </c:pt>
                <c:pt idx="29">
                  <c:v>-0.500625782227785</c:v>
                </c:pt>
                <c:pt idx="30">
                  <c:v>-0.500625782227785</c:v>
                </c:pt>
                <c:pt idx="31">
                  <c:v>-0.500625782227785</c:v>
                </c:pt>
              </c:numCache>
            </c:numRef>
          </c:xVal>
          <c:yVal>
            <c:numRef>
              <c:f>DIBUJO!$AI$4:$AI$35</c:f>
              <c:numCache>
                <c:formatCode>General</c:formatCode>
                <c:ptCount val="32"/>
                <c:pt idx="0">
                  <c:v>0.0989331902973956</c:v>
                </c:pt>
                <c:pt idx="1">
                  <c:v>0.277728112521604</c:v>
                </c:pt>
                <c:pt idx="2">
                  <c:v>0.456523034745813</c:v>
                </c:pt>
                <c:pt idx="3">
                  <c:v>0.456523034745813</c:v>
                </c:pt>
                <c:pt idx="4">
                  <c:v>0.456523034745813</c:v>
                </c:pt>
                <c:pt idx="5">
                  <c:v>0.456523034745813</c:v>
                </c:pt>
                <c:pt idx="6">
                  <c:v>0.456523034745813</c:v>
                </c:pt>
                <c:pt idx="7">
                  <c:v>0.456523034745813</c:v>
                </c:pt>
                <c:pt idx="8">
                  <c:v>-0.0989331902973956</c:v>
                </c:pt>
                <c:pt idx="9">
                  <c:v>-0.277728112521604</c:v>
                </c:pt>
                <c:pt idx="10">
                  <c:v>-0.456523034745813</c:v>
                </c:pt>
                <c:pt idx="11">
                  <c:v>-0.456523034745813</c:v>
                </c:pt>
                <c:pt idx="12">
                  <c:v>-0.456523034745813</c:v>
                </c:pt>
                <c:pt idx="13">
                  <c:v>-0.456523034745813</c:v>
                </c:pt>
                <c:pt idx="14">
                  <c:v>-0.456523034745813</c:v>
                </c:pt>
                <c:pt idx="15">
                  <c:v>-0.456523034745813</c:v>
                </c:pt>
                <c:pt idx="16">
                  <c:v>0.0989331902973956</c:v>
                </c:pt>
                <c:pt idx="17">
                  <c:v>0.277728112521604</c:v>
                </c:pt>
                <c:pt idx="18">
                  <c:v>0.456523034745813</c:v>
                </c:pt>
                <c:pt idx="19">
                  <c:v>0.456523034745813</c:v>
                </c:pt>
                <c:pt idx="20">
                  <c:v>0.456523034745813</c:v>
                </c:pt>
                <c:pt idx="21">
                  <c:v>0.456523034745813</c:v>
                </c:pt>
                <c:pt idx="22">
                  <c:v>0.456523034745813</c:v>
                </c:pt>
                <c:pt idx="23">
                  <c:v>0.456523034745813</c:v>
                </c:pt>
                <c:pt idx="24">
                  <c:v>-0.0989331902973956</c:v>
                </c:pt>
                <c:pt idx="25">
                  <c:v>-0.277728112521604</c:v>
                </c:pt>
                <c:pt idx="26">
                  <c:v>-0.456523034745813</c:v>
                </c:pt>
                <c:pt idx="27">
                  <c:v>-0.456523034745813</c:v>
                </c:pt>
                <c:pt idx="28">
                  <c:v>-0.456523034745813</c:v>
                </c:pt>
                <c:pt idx="29">
                  <c:v>-0.456523034745813</c:v>
                </c:pt>
                <c:pt idx="30">
                  <c:v>-0.456523034745813</c:v>
                </c:pt>
                <c:pt idx="31">
                  <c:v>-0.456523034745813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"Pernos alma"</c:f>
              <c:strCache>
                <c:ptCount val="1"/>
                <c:pt idx="0">
                  <c:v>Pernos alma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DIBUJO!$AK$4:$AK$39</c:f>
              <c:numCache>
                <c:formatCode>General</c:formatCode>
                <c:ptCount val="36"/>
                <c:pt idx="0">
                  <c:v>-0.119196614816139</c:v>
                </c:pt>
                <c:pt idx="1">
                  <c:v>-0.119196614816139</c:v>
                </c:pt>
                <c:pt idx="2">
                  <c:v>-0.119196614816139</c:v>
                </c:pt>
                <c:pt idx="3">
                  <c:v>-0.119196614816139</c:v>
                </c:pt>
                <c:pt idx="4">
                  <c:v>-0.119196614816139</c:v>
                </c:pt>
                <c:pt idx="5">
                  <c:v>-0.119196614816139</c:v>
                </c:pt>
                <c:pt idx="6">
                  <c:v>0.119196614816139</c:v>
                </c:pt>
                <c:pt idx="7">
                  <c:v>0.119196614816139</c:v>
                </c:pt>
                <c:pt idx="8">
                  <c:v>0.119196614816139</c:v>
                </c:pt>
                <c:pt idx="9">
                  <c:v>0.119196614816139</c:v>
                </c:pt>
                <c:pt idx="10">
                  <c:v>0.119196614816139</c:v>
                </c:pt>
                <c:pt idx="11">
                  <c:v>0.119196614816139</c:v>
                </c:pt>
                <c:pt idx="12">
                  <c:v>0.119196614816139</c:v>
                </c:pt>
                <c:pt idx="13">
                  <c:v>0.119196614816139</c:v>
                </c:pt>
                <c:pt idx="14">
                  <c:v>0.119196614816139</c:v>
                </c:pt>
                <c:pt idx="15">
                  <c:v>0.119196614816139</c:v>
                </c:pt>
                <c:pt idx="16">
                  <c:v>0.119196614816139</c:v>
                </c:pt>
                <c:pt idx="17">
                  <c:v>0.119196614816139</c:v>
                </c:pt>
                <c:pt idx="18">
                  <c:v>-0.119196614816139</c:v>
                </c:pt>
                <c:pt idx="19">
                  <c:v>-0.119196614816139</c:v>
                </c:pt>
                <c:pt idx="20">
                  <c:v>-0.119196614816139</c:v>
                </c:pt>
                <c:pt idx="21">
                  <c:v>-0.119196614816139</c:v>
                </c:pt>
                <c:pt idx="22">
                  <c:v>-0.119196614816139</c:v>
                </c:pt>
                <c:pt idx="23">
                  <c:v>-0.119196614816139</c:v>
                </c:pt>
                <c:pt idx="24">
                  <c:v>0.119196614816139</c:v>
                </c:pt>
                <c:pt idx="25">
                  <c:v>0.119196614816139</c:v>
                </c:pt>
                <c:pt idx="26">
                  <c:v>0.119196614816139</c:v>
                </c:pt>
                <c:pt idx="27">
                  <c:v>0.119196614816139</c:v>
                </c:pt>
                <c:pt idx="28">
                  <c:v>0.119196614816139</c:v>
                </c:pt>
                <c:pt idx="29">
                  <c:v>0.119196614816139</c:v>
                </c:pt>
                <c:pt idx="30">
                  <c:v>0.119196614816139</c:v>
                </c:pt>
                <c:pt idx="31">
                  <c:v>0.119196614816139</c:v>
                </c:pt>
                <c:pt idx="32">
                  <c:v>0.119196614816139</c:v>
                </c:pt>
                <c:pt idx="33">
                  <c:v>0.119196614816139</c:v>
                </c:pt>
                <c:pt idx="34">
                  <c:v>0.119196614816139</c:v>
                </c:pt>
                <c:pt idx="35">
                  <c:v>0.119196614816139</c:v>
                </c:pt>
              </c:numCache>
            </c:numRef>
          </c:xVal>
          <c:yVal>
            <c:numRef>
              <c:f>DIBUJO!$AL$4:$AL$39</c:f>
              <c:numCache>
                <c:formatCode>General</c:formatCode>
                <c:ptCount val="36"/>
                <c:pt idx="0">
                  <c:v>0.0989331902973956</c:v>
                </c:pt>
                <c:pt idx="1">
                  <c:v>0.277728112521604</c:v>
                </c:pt>
                <c:pt idx="2">
                  <c:v>0.277728112521604</c:v>
                </c:pt>
                <c:pt idx="3">
                  <c:v>0.277728112521604</c:v>
                </c:pt>
                <c:pt idx="4">
                  <c:v>0.277728112521604</c:v>
                </c:pt>
                <c:pt idx="5">
                  <c:v>0.277728112521604</c:v>
                </c:pt>
                <c:pt idx="6">
                  <c:v>0.0989331902973956</c:v>
                </c:pt>
                <c:pt idx="7">
                  <c:v>0.277728112521604</c:v>
                </c:pt>
                <c:pt idx="8">
                  <c:v>0.277728112521604</c:v>
                </c:pt>
                <c:pt idx="9">
                  <c:v>0.277728112521604</c:v>
                </c:pt>
                <c:pt idx="10">
                  <c:v>0.277728112521604</c:v>
                </c:pt>
                <c:pt idx="11">
                  <c:v>0.277728112521604</c:v>
                </c:pt>
                <c:pt idx="12">
                  <c:v>0.0989331902973956</c:v>
                </c:pt>
                <c:pt idx="13">
                  <c:v>0.277728112521604</c:v>
                </c:pt>
                <c:pt idx="14">
                  <c:v>0.277728112521604</c:v>
                </c:pt>
                <c:pt idx="15">
                  <c:v>0.277728112521604</c:v>
                </c:pt>
                <c:pt idx="16">
                  <c:v>0.277728112521604</c:v>
                </c:pt>
                <c:pt idx="17">
                  <c:v>0.277728112521604</c:v>
                </c:pt>
                <c:pt idx="18">
                  <c:v>-0.0989331902973956</c:v>
                </c:pt>
                <c:pt idx="19">
                  <c:v>-0.277728112521604</c:v>
                </c:pt>
                <c:pt idx="20">
                  <c:v>-0.277728112521604</c:v>
                </c:pt>
                <c:pt idx="21">
                  <c:v>-0.277728112521604</c:v>
                </c:pt>
                <c:pt idx="22">
                  <c:v>-0.277728112521604</c:v>
                </c:pt>
                <c:pt idx="23">
                  <c:v>-0.277728112521604</c:v>
                </c:pt>
                <c:pt idx="24">
                  <c:v>-0.0989331902973956</c:v>
                </c:pt>
                <c:pt idx="25">
                  <c:v>-0.277728112521604</c:v>
                </c:pt>
                <c:pt idx="26">
                  <c:v>-0.277728112521604</c:v>
                </c:pt>
                <c:pt idx="27">
                  <c:v>-0.277728112521604</c:v>
                </c:pt>
                <c:pt idx="28">
                  <c:v>-0.277728112521604</c:v>
                </c:pt>
                <c:pt idx="29">
                  <c:v>-0.277728112521604</c:v>
                </c:pt>
                <c:pt idx="30">
                  <c:v>-0.0989331902973956</c:v>
                </c:pt>
                <c:pt idx="31">
                  <c:v>-0.277728112521604</c:v>
                </c:pt>
                <c:pt idx="32">
                  <c:v>-0.277728112521604</c:v>
                </c:pt>
                <c:pt idx="33">
                  <c:v>-0.277728112521604</c:v>
                </c:pt>
                <c:pt idx="34">
                  <c:v>-0.277728112521604</c:v>
                </c:pt>
                <c:pt idx="35">
                  <c:v>-0.277728112521604</c:v>
                </c:pt>
              </c:numCache>
            </c:numRef>
          </c:yVal>
          <c:smooth val="0"/>
        </c:ser>
        <c:axId val="77368172"/>
        <c:axId val="62980714"/>
      </c:scatterChart>
      <c:valAx>
        <c:axId val="77368172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80714"/>
        <c:crosses val="autoZero"/>
        <c:crossBetween val="midCat"/>
      </c:valAx>
      <c:valAx>
        <c:axId val="62980714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681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"Col inferior"</c:f>
              <c:strCache>
                <c:ptCount val="1"/>
                <c:pt idx="0">
                  <c:v>Col inferior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DIBUJO!$AN$4:$AN$16</c:f>
              <c:numCache>
                <c:formatCode>General</c:formatCode>
                <c:ptCount val="13"/>
                <c:pt idx="0">
                  <c:v>-0.844594594594595</c:v>
                </c:pt>
                <c:pt idx="1">
                  <c:v>-0.844594594594595</c:v>
                </c:pt>
                <c:pt idx="2">
                  <c:v>-0.784266409266409</c:v>
                </c:pt>
                <c:pt idx="3">
                  <c:v>-0.784266409266409</c:v>
                </c:pt>
                <c:pt idx="4">
                  <c:v>0.784266409266409</c:v>
                </c:pt>
                <c:pt idx="5">
                  <c:v>0.784266409266409</c:v>
                </c:pt>
                <c:pt idx="6">
                  <c:v>0.844594594594595</c:v>
                </c:pt>
                <c:pt idx="7">
                  <c:v>0.844594594594595</c:v>
                </c:pt>
                <c:pt idx="8">
                  <c:v>0.784266409266409</c:v>
                </c:pt>
                <c:pt idx="9">
                  <c:v>0.784266409266409</c:v>
                </c:pt>
                <c:pt idx="10">
                  <c:v>-0.784266409266409</c:v>
                </c:pt>
                <c:pt idx="11">
                  <c:v>-0.784266409266409</c:v>
                </c:pt>
                <c:pt idx="12">
                  <c:v>-0.844594594594595</c:v>
                </c:pt>
              </c:numCache>
            </c:numRef>
          </c:xVal>
          <c:yVal>
            <c:numRef>
              <c:f>DIBUJO!$AO$4:$AO$16</c:f>
              <c:numCache>
                <c:formatCode>General</c:formatCode>
                <c:ptCount val="13"/>
                <c:pt idx="0">
                  <c:v>-0.422297297297297</c:v>
                </c:pt>
                <c:pt idx="1">
                  <c:v>0.422297297297297</c:v>
                </c:pt>
                <c:pt idx="2">
                  <c:v>0.422297297297297</c:v>
                </c:pt>
                <c:pt idx="3">
                  <c:v>0.0160875160875161</c:v>
                </c:pt>
                <c:pt idx="4">
                  <c:v>0.0160875160875161</c:v>
                </c:pt>
                <c:pt idx="5">
                  <c:v>0.422297297297297</c:v>
                </c:pt>
                <c:pt idx="6">
                  <c:v>0.422297297297297</c:v>
                </c:pt>
                <c:pt idx="7">
                  <c:v>-0.422297297297297</c:v>
                </c:pt>
                <c:pt idx="8">
                  <c:v>-0.422297297297297</c:v>
                </c:pt>
                <c:pt idx="9">
                  <c:v>-0.0160875160875161</c:v>
                </c:pt>
                <c:pt idx="10">
                  <c:v>-0.0160875160875161</c:v>
                </c:pt>
                <c:pt idx="11">
                  <c:v>-0.422297297297297</c:v>
                </c:pt>
                <c:pt idx="12">
                  <c:v>-0.422297297297297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"Col superior"</c:f>
              <c:strCache>
                <c:ptCount val="1"/>
                <c:pt idx="0">
                  <c:v>Col superior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DIBUJO!$AQ$4:$AQ$16</c:f>
              <c:numCache>
                <c:formatCode>General</c:formatCode>
                <c:ptCount val="13"/>
                <c:pt idx="0">
                  <c:v>-0.804375804375804</c:v>
                </c:pt>
                <c:pt idx="1">
                  <c:v>-0.804375804375804</c:v>
                </c:pt>
                <c:pt idx="2">
                  <c:v>-0.744047619047619</c:v>
                </c:pt>
                <c:pt idx="3">
                  <c:v>-0.744047619047619</c:v>
                </c:pt>
                <c:pt idx="4">
                  <c:v>0.744047619047619</c:v>
                </c:pt>
                <c:pt idx="5">
                  <c:v>0.744047619047619</c:v>
                </c:pt>
                <c:pt idx="6">
                  <c:v>0.804375804375804</c:v>
                </c:pt>
                <c:pt idx="7">
                  <c:v>0.804375804375804</c:v>
                </c:pt>
                <c:pt idx="8">
                  <c:v>0.744047619047619</c:v>
                </c:pt>
                <c:pt idx="9">
                  <c:v>0.744047619047619</c:v>
                </c:pt>
                <c:pt idx="10">
                  <c:v>-0.744047619047619</c:v>
                </c:pt>
                <c:pt idx="11">
                  <c:v>-0.744047619047619</c:v>
                </c:pt>
                <c:pt idx="12">
                  <c:v>-0.804375804375804</c:v>
                </c:pt>
              </c:numCache>
            </c:numRef>
          </c:xVal>
          <c:yVal>
            <c:numRef>
              <c:f>DIBUJO!$AR$4:$AR$16</c:f>
              <c:numCache>
                <c:formatCode>General</c:formatCode>
                <c:ptCount val="13"/>
                <c:pt idx="0">
                  <c:v>-0.402187902187902</c:v>
                </c:pt>
                <c:pt idx="1">
                  <c:v>0.402187902187902</c:v>
                </c:pt>
                <c:pt idx="2">
                  <c:v>0.402187902187902</c:v>
                </c:pt>
                <c:pt idx="3">
                  <c:v>0.0160875160875161</c:v>
                </c:pt>
                <c:pt idx="4">
                  <c:v>0.0160875160875161</c:v>
                </c:pt>
                <c:pt idx="5">
                  <c:v>0.402187902187902</c:v>
                </c:pt>
                <c:pt idx="6">
                  <c:v>0.402187902187902</c:v>
                </c:pt>
                <c:pt idx="7">
                  <c:v>-0.402187902187902</c:v>
                </c:pt>
                <c:pt idx="8">
                  <c:v>-0.402187902187902</c:v>
                </c:pt>
                <c:pt idx="9">
                  <c:v>-0.0160875160875161</c:v>
                </c:pt>
                <c:pt idx="10">
                  <c:v>-0.0160875160875161</c:v>
                </c:pt>
                <c:pt idx="11">
                  <c:v>-0.402187902187902</c:v>
                </c:pt>
                <c:pt idx="12">
                  <c:v>-0.402187902187902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DIBUJO!$AT$4:$AT$8</c:f>
              <c:numCache>
                <c:formatCode>General</c:formatCode>
                <c:ptCount val="5"/>
                <c:pt idx="0">
                  <c:v>0.844594594594595</c:v>
                </c:pt>
                <c:pt idx="1">
                  <c:v>0.844594594594595</c:v>
                </c:pt>
                <c:pt idx="2">
                  <c:v>0.892857142857143</c:v>
                </c:pt>
                <c:pt idx="3">
                  <c:v>0.892857142857143</c:v>
                </c:pt>
                <c:pt idx="4">
                  <c:v>0.844594594594595</c:v>
                </c:pt>
              </c:numCache>
            </c:numRef>
          </c:xVal>
          <c:yVal>
            <c:numRef>
              <c:f>DIBUJO!$AU$4:$AU$8</c:f>
              <c:numCache>
                <c:formatCode>General</c:formatCode>
                <c:ptCount val="5"/>
                <c:pt idx="0">
                  <c:v>-0.361969111969112</c:v>
                </c:pt>
                <c:pt idx="1">
                  <c:v>0.361969111969112</c:v>
                </c:pt>
                <c:pt idx="2">
                  <c:v>0.361969111969112</c:v>
                </c:pt>
                <c:pt idx="3">
                  <c:v>-0.361969111969112</c:v>
                </c:pt>
                <c:pt idx="4">
                  <c:v>-0.361969111969112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"Relleno s"</c:f>
              <c:strCache>
                <c:ptCount val="1"/>
                <c:pt idx="0">
                  <c:v>Relleno s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DIBUJO!$AW$4:$AW$8</c:f>
              <c:numCache>
                <c:formatCode>General</c:formatCode>
                <c:ptCount val="5"/>
                <c:pt idx="0">
                  <c:v>0.804375804375804</c:v>
                </c:pt>
                <c:pt idx="1">
                  <c:v>0.804375804375804</c:v>
                </c:pt>
                <c:pt idx="2">
                  <c:v>0.844594594594595</c:v>
                </c:pt>
                <c:pt idx="3">
                  <c:v>0.844594594594595</c:v>
                </c:pt>
                <c:pt idx="4">
                  <c:v>0.804375804375804</c:v>
                </c:pt>
              </c:numCache>
            </c:numRef>
          </c:xVal>
          <c:yVal>
            <c:numRef>
              <c:f>DIBUJO!$AX$4:$AX$8</c:f>
              <c:numCache>
                <c:formatCode>General</c:formatCode>
                <c:ptCount val="5"/>
                <c:pt idx="0">
                  <c:v>-0.361969111969112</c:v>
                </c:pt>
                <c:pt idx="1">
                  <c:v>0.361969111969112</c:v>
                </c:pt>
                <c:pt idx="2">
                  <c:v>0.361969111969112</c:v>
                </c:pt>
                <c:pt idx="3">
                  <c:v>-0.361969111969112</c:v>
                </c:pt>
                <c:pt idx="4">
                  <c:v>-0.361969111969112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"Alma"</c:f>
              <c:strCache>
                <c:ptCount val="1"/>
                <c:pt idx="0">
                  <c:v>Alma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DIBUJO!$AZ$4:$AZ$8</c:f>
              <c:numCache>
                <c:formatCode>General</c:formatCode>
                <c:ptCount val="5"/>
                <c:pt idx="0">
                  <c:v>-0.402187902187902</c:v>
                </c:pt>
                <c:pt idx="1">
                  <c:v>-0.402187902187902</c:v>
                </c:pt>
                <c:pt idx="2">
                  <c:v>0.402187902187902</c:v>
                </c:pt>
                <c:pt idx="3">
                  <c:v>0.402187902187902</c:v>
                </c:pt>
                <c:pt idx="4">
                  <c:v>-0.402187902187902</c:v>
                </c:pt>
              </c:numCache>
            </c:numRef>
          </c:xVal>
          <c:yVal>
            <c:numRef>
              <c:f>DIBUJO!$BA$4:$BA$8</c:f>
              <c:numCache>
                <c:formatCode>General</c:formatCode>
                <c:ptCount val="5"/>
                <c:pt idx="0">
                  <c:v>0.0160875160875161</c:v>
                </c:pt>
                <c:pt idx="1">
                  <c:v>0.0482625482625483</c:v>
                </c:pt>
                <c:pt idx="2">
                  <c:v>0.0482625482625483</c:v>
                </c:pt>
                <c:pt idx="3">
                  <c:v>0.0160875160875161</c:v>
                </c:pt>
                <c:pt idx="4">
                  <c:v>0.0160875160875161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"Placa-"</c:f>
              <c:strCache>
                <c:ptCount val="1"/>
                <c:pt idx="0">
                  <c:v>Placa-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DIBUJO!$BC$4:$BC$8</c:f>
              <c:numCache>
                <c:formatCode>General</c:formatCode>
                <c:ptCount val="5"/>
                <c:pt idx="0">
                  <c:v>-0.844594594594595</c:v>
                </c:pt>
                <c:pt idx="1">
                  <c:v>-0.844594594594595</c:v>
                </c:pt>
                <c:pt idx="2">
                  <c:v>-0.892857142857143</c:v>
                </c:pt>
                <c:pt idx="3">
                  <c:v>-0.892857142857143</c:v>
                </c:pt>
                <c:pt idx="4">
                  <c:v>-0.844594594594595</c:v>
                </c:pt>
              </c:numCache>
            </c:numRef>
          </c:xVal>
          <c:yVal>
            <c:numRef>
              <c:f>DIBUJO!$BD$4:$BD$8</c:f>
              <c:numCache>
                <c:formatCode>General</c:formatCode>
                <c:ptCount val="5"/>
                <c:pt idx="0">
                  <c:v>-0.361969111969112</c:v>
                </c:pt>
                <c:pt idx="1">
                  <c:v>0.361969111969112</c:v>
                </c:pt>
                <c:pt idx="2">
                  <c:v>0.361969111969112</c:v>
                </c:pt>
                <c:pt idx="3">
                  <c:v>-0.361969111969112</c:v>
                </c:pt>
                <c:pt idx="4">
                  <c:v>-0.361969111969112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"Relleno s-"</c:f>
              <c:strCache>
                <c:ptCount val="1"/>
                <c:pt idx="0">
                  <c:v>Relleno s-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DIBUJO!$BF$4:$BF$8</c:f>
              <c:numCache>
                <c:formatCode>General</c:formatCode>
                <c:ptCount val="5"/>
                <c:pt idx="0">
                  <c:v>-0.804375804375804</c:v>
                </c:pt>
                <c:pt idx="1">
                  <c:v>-0.804375804375804</c:v>
                </c:pt>
                <c:pt idx="2">
                  <c:v>-0.844594594594595</c:v>
                </c:pt>
                <c:pt idx="3">
                  <c:v>-0.844594594594595</c:v>
                </c:pt>
                <c:pt idx="4">
                  <c:v>-0.804375804375804</c:v>
                </c:pt>
              </c:numCache>
            </c:numRef>
          </c:xVal>
          <c:yVal>
            <c:numRef>
              <c:f>DIBUJO!$BG$4:$BG$8</c:f>
              <c:numCache>
                <c:formatCode>General</c:formatCode>
                <c:ptCount val="5"/>
                <c:pt idx="0">
                  <c:v>-0.361969111969112</c:v>
                </c:pt>
                <c:pt idx="1">
                  <c:v>0.361969111969112</c:v>
                </c:pt>
                <c:pt idx="2">
                  <c:v>0.361969111969112</c:v>
                </c:pt>
                <c:pt idx="3">
                  <c:v>-0.361969111969112</c:v>
                </c:pt>
                <c:pt idx="4">
                  <c:v>-0.361969111969112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"Alma-"</c:f>
              <c:strCache>
                <c:ptCount val="1"/>
                <c:pt idx="0">
                  <c:v>Alma-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DIBUJO!$BI$4:$BI$8</c:f>
              <c:numCache>
                <c:formatCode>General</c:formatCode>
                <c:ptCount val="5"/>
                <c:pt idx="0">
                  <c:v>-0.402187902187902</c:v>
                </c:pt>
                <c:pt idx="1">
                  <c:v>-0.402187902187902</c:v>
                </c:pt>
                <c:pt idx="2">
                  <c:v>0.402187902187902</c:v>
                </c:pt>
                <c:pt idx="3">
                  <c:v>0.402187902187902</c:v>
                </c:pt>
                <c:pt idx="4">
                  <c:v>-0.402187902187902</c:v>
                </c:pt>
              </c:numCache>
            </c:numRef>
          </c:xVal>
          <c:yVal>
            <c:numRef>
              <c:f>DIBUJO!$BJ$4:$BJ$8</c:f>
              <c:numCache>
                <c:formatCode>General</c:formatCode>
                <c:ptCount val="5"/>
                <c:pt idx="0">
                  <c:v>-0.0160875160875161</c:v>
                </c:pt>
                <c:pt idx="1">
                  <c:v>-0.0482625482625483</c:v>
                </c:pt>
                <c:pt idx="2">
                  <c:v>-0.0482625482625483</c:v>
                </c:pt>
                <c:pt idx="3">
                  <c:v>-0.0160875160875161</c:v>
                </c:pt>
                <c:pt idx="4">
                  <c:v>-0.0160875160875161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"Pernos ala"</c:f>
              <c:strCache>
                <c:ptCount val="1"/>
                <c:pt idx="0">
                  <c:v>Pernos ala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10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DIBUJO!$BL$4:$BL$7</c:f>
              <c:numCache>
                <c:formatCode>General</c:formatCode>
                <c:ptCount val="4"/>
                <c:pt idx="0">
                  <c:v>0.804375804375804</c:v>
                </c:pt>
                <c:pt idx="1">
                  <c:v>0.804375804375804</c:v>
                </c:pt>
                <c:pt idx="2">
                  <c:v>-0.804375804375804</c:v>
                </c:pt>
                <c:pt idx="3">
                  <c:v>-0.804375804375804</c:v>
                </c:pt>
              </c:numCache>
            </c:numRef>
          </c:xVal>
          <c:yVal>
            <c:numRef>
              <c:f>DIBUJO!$BM$4:$BM$7</c:f>
              <c:numCache>
                <c:formatCode>General</c:formatCode>
                <c:ptCount val="4"/>
                <c:pt idx="0">
                  <c:v>0.221203346203346</c:v>
                </c:pt>
                <c:pt idx="1">
                  <c:v>-0.221203346203346</c:v>
                </c:pt>
                <c:pt idx="2">
                  <c:v>0.221203346203346</c:v>
                </c:pt>
                <c:pt idx="3">
                  <c:v>-0.221203346203346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"Pernos alma"</c:f>
              <c:strCache>
                <c:ptCount val="1"/>
                <c:pt idx="0">
                  <c:v>Pernos alma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iamond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DIBUJO!$BO$4:$BO$6</c:f>
              <c:numCache>
                <c:formatCode>General</c:formatCode>
                <c:ptCount val="3"/>
                <c:pt idx="0">
                  <c:v>-0.201093951093951</c:v>
                </c:pt>
                <c:pt idx="1">
                  <c:v>0.201093951093951</c:v>
                </c:pt>
                <c:pt idx="2">
                  <c:v>0.201093951093951</c:v>
                </c:pt>
              </c:numCache>
            </c:numRef>
          </c:xVal>
          <c:yVal>
            <c:numRef>
              <c:f>DIBUJO!$BP$4:$BP$6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</c:ser>
        <c:axId val="59587805"/>
        <c:axId val="61057531"/>
      </c:scatterChart>
      <c:valAx>
        <c:axId val="59587805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57531"/>
        <c:crosses val="autoZero"/>
        <c:crossBetween val="midCat"/>
      </c:valAx>
      <c:valAx>
        <c:axId val="61057531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878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472680</xdr:colOff>
      <xdr:row>18</xdr:row>
      <xdr:rowOff>89640</xdr:rowOff>
    </xdr:to>
    <xdr:graphicFrame>
      <xdr:nvGraphicFramePr>
        <xdr:cNvPr id="0" name="Chart 1"/>
        <xdr:cNvGraphicFramePr/>
      </xdr:nvGraphicFramePr>
      <xdr:xfrm>
        <a:off x="504072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18</xdr:row>
      <xdr:rowOff>89640</xdr:rowOff>
    </xdr:to>
    <xdr:graphicFrame>
      <xdr:nvGraphicFramePr>
        <xdr:cNvPr id="1" name="Chart 2"/>
        <xdr:cNvGraphicFramePr/>
      </xdr:nvGraphicFramePr>
      <xdr:xfrm>
        <a:off x="764856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6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.51"/>
    <col collapsed="false" customWidth="true" hidden="false" outlineLevel="0" max="14" min="14" style="0" width="40"/>
    <col collapsed="false" customWidth="true" hidden="false" outlineLevel="0" max="15" min="15" style="0" width="18"/>
    <col collapsed="false" customWidth="true" hidden="false" outlineLevel="0" max="18" min="16" style="0" width="10"/>
    <col collapsed="false" customWidth="true" hidden="false" outlineLevel="0" max="19" min="19" style="0" width="8"/>
    <col collapsed="false" customWidth="true" hidden="false" outlineLevel="0" max="21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IF(COUNT(S12:S44)=0,"SIN CARGAS",IF(MAX(S12:S44)&gt;1,"✖  NO CUMPLE — ratio máx. "&amp;TEXT(MAX(S12:S44),"0.00"),IF(MAX(S12:S44)&gt;lim_verde,"▲  CUMPLE AL LÍMITE — ratio máx. "&amp;TEXT(MAX(S12:S44),"0.00"),"✔  CUMPLE — ratio máx. "&amp;TEXT(MAX(S12:S44),"0.00"))))</f>
        <v>✔  CUMPLE — ratio máx. 0.90</v>
      </c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15" hidden="false" customHeight="fals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  <c r="U10" s="12" t="s">
        <v>23</v>
      </c>
    </row>
    <row r="11" customFormat="false" ht="15" hidden="false" customHeight="false" outlineLevel="0" collapsed="false">
      <c r="B11" s="7" t="s">
        <v>24</v>
      </c>
      <c r="C11" s="8" t="s">
        <v>25</v>
      </c>
      <c r="D11" s="8"/>
      <c r="E11" s="8"/>
      <c r="N11" s="13" t="s">
        <v>26</v>
      </c>
      <c r="O11" s="13"/>
      <c r="P11" s="13"/>
      <c r="Q11" s="13"/>
      <c r="R11" s="13"/>
      <c r="S11" s="13"/>
      <c r="T11" s="13"/>
      <c r="U11" s="13"/>
    </row>
    <row r="12" customFormat="false" ht="15" hidden="false" customHeight="false" outlineLevel="0" collapsed="false">
      <c r="B12" s="7" t="s">
        <v>27</v>
      </c>
      <c r="C12" s="8" t="s">
        <v>28</v>
      </c>
      <c r="D12" s="11"/>
      <c r="N12" s="14" t="s">
        <v>29</v>
      </c>
      <c r="O12" s="15" t="s">
        <v>30</v>
      </c>
      <c r="P12" s="16" t="n">
        <f aca="false">IF(k_fr=0,"—",INDEX(CALCULO!$D$83:$M$83,MATCH(MAX(CALCULO!$D$93:$M$93),CALCULO!$D$93:$M$93,0))/1000)</f>
        <v>85</v>
      </c>
      <c r="Q12" s="16" t="n">
        <f aca="false">IF(k_fr=0,"—",k_Rbe/1000)</f>
        <v>235.3644</v>
      </c>
      <c r="R12" s="17" t="s">
        <v>31</v>
      </c>
      <c r="S12" s="18" t="n">
        <f aca="false">IF(k_fr=0,"N/A",MAX(CALCULO!$D$93:$M$93))</f>
        <v>0.361142126846711</v>
      </c>
      <c r="T12" s="19" t="str">
        <f aca="false">IF(ISNUMBER(S12),IF(S12&gt;1,"NO CUMPLE",IF(S12&gt;lim_verde,"AL LÍMITE","CUMPLE")),"N/A")</f>
        <v>CUMPLE</v>
      </c>
      <c r="U12" s="17" t="str">
        <f aca="false">IF(ISNUMBER(S12),INDEX(CALCULO!$D$82:$M$82,MATCH(MAX(CALCULO!$D$93:$M$93),CALCULO!$D$93:$M$93,0)),"—")</f>
        <v>1.2D+1.6L</v>
      </c>
    </row>
    <row r="13" customFormat="false" ht="15" hidden="false" customHeight="false" outlineLevel="0" collapsed="false">
      <c r="B13" s="7" t="s">
        <v>32</v>
      </c>
      <c r="C13" s="8" t="s">
        <v>33</v>
      </c>
      <c r="D13" s="8"/>
      <c r="E13" s="8"/>
      <c r="N13" s="14" t="s">
        <v>34</v>
      </c>
      <c r="O13" s="15" t="s">
        <v>35</v>
      </c>
      <c r="P13" s="16" t="n">
        <f aca="false">IF(t_ap=0,"—",INDEX(CALCULO!$D$91:$M$91,MATCH(MAX(CALCULO!$D$94:$M$94),CALCULO!$D$94:$M$94,0))/1000)</f>
        <v>26.0957792207792</v>
      </c>
      <c r="Q13" s="16" t="n">
        <f aca="false">IF(t_ap=0,"—",f_nb*MIN(f_rv,f_rvs)/1000)</f>
        <v>45.7004999776324</v>
      </c>
      <c r="R13" s="17" t="s">
        <v>31</v>
      </c>
      <c r="S13" s="18" t="n">
        <f aca="false">IF(t_ap=0,"N/A",MAX(CALCULO!$D$94:$M$94))</f>
        <v>0.571017368159025</v>
      </c>
      <c r="T13" s="19" t="str">
        <f aca="false">IF(ISNUMBER(S13),IF(S13&gt;1,"NO CUMPLE",IF(S13&gt;lim_verde,"AL LÍMITE","CUMPLE")),"N/A")</f>
        <v>CUMPLE</v>
      </c>
      <c r="U13" s="17" t="str">
        <f aca="false">IF(ISNUMBER(S13),INDEX(CALCULO!$D$82:$M$82,MATCH(MAX(CALCULO!$D$94:$M$94),CALCULO!$D$94:$M$94,0)),"—")</f>
        <v>0.9D−Ω0E</v>
      </c>
    </row>
    <row r="14" customFormat="false" ht="15" hidden="false" customHeight="false" outlineLevel="0" collapsed="false">
      <c r="B14" s="7" t="s">
        <v>36</v>
      </c>
      <c r="C14" s="8" t="n">
        <v>1500</v>
      </c>
      <c r="D14" s="11" t="s">
        <v>37</v>
      </c>
      <c r="N14" s="14" t="s">
        <v>38</v>
      </c>
      <c r="O14" s="15" t="s">
        <v>39</v>
      </c>
      <c r="P14" s="16" t="n">
        <f aca="false">IF(t_ap=0,"—",INDEX(CALCULO!$D$91:$M$91,MATCH(MAX(CALCULO!$D$95:$M$95),CALCULO!$D$95:$M$95,0))/1000)</f>
        <v>26.0957792207792</v>
      </c>
      <c r="Q14" s="16" t="n">
        <f aca="false">IF(t_ap=0,"—",f_nb*MIN(f_rbc,f_rbp)/1000)</f>
        <v>87.8968665</v>
      </c>
      <c r="R14" s="17" t="s">
        <v>31</v>
      </c>
      <c r="S14" s="18" t="n">
        <f aca="false">IF(t_ap=0,"N/A",MAX(CALCULO!$D$95:$M$95))</f>
        <v>0.296890893383318</v>
      </c>
      <c r="T14" s="19" t="str">
        <f aca="false">IF(ISNUMBER(S14),IF(S14&gt;1,"NO CUMPLE",IF(S14&gt;lim_verde,"AL LÍMITE","CUMPLE")),"N/A")</f>
        <v>CUMPLE</v>
      </c>
      <c r="U14" s="17" t="str">
        <f aca="false">IF(ISNUMBER(S14),INDEX(CALCULO!$D$82:$M$82,MATCH(MAX(CALCULO!$D$95:$M$95),CALCULO!$D$95:$M$95,0)),"—")</f>
        <v>0.9D−Ω0E</v>
      </c>
    </row>
    <row r="15" customFormat="false" ht="15" hidden="false" customHeight="false" outlineLevel="0" collapsed="false">
      <c r="B15" s="7" t="s">
        <v>40</v>
      </c>
      <c r="C15" s="8" t="n">
        <v>3</v>
      </c>
      <c r="D15" s="11" t="s">
        <v>37</v>
      </c>
      <c r="N15" s="14" t="s">
        <v>41</v>
      </c>
      <c r="O15" s="15" t="s">
        <v>42</v>
      </c>
      <c r="P15" s="16" t="n">
        <f aca="false">IF(t_ap=0,"—",INDEX(CALCULO!$D$89:$M$89,MATCH(MAX(CALCULO!$D$96:$M$96),CALCULO!$D$96:$M$96,0))/1000)</f>
        <v>26.0957792207792</v>
      </c>
      <c r="Q15" s="16" t="n">
        <f aca="false">IF(t_ap=0,"—",p_ty/1000)</f>
        <v>68.3316</v>
      </c>
      <c r="R15" s="17" t="s">
        <v>31</v>
      </c>
      <c r="S15" s="18" t="n">
        <f aca="false">IF(t_ap=0,"N/A",MAX(CALCULO!$D$96:$M$96))</f>
        <v>0.381899139209081</v>
      </c>
      <c r="T15" s="19" t="str">
        <f aca="false">IF(ISNUMBER(S15),IF(S15&gt;1,"NO CUMPLE",IF(S15&gt;lim_verde,"AL LÍMITE","CUMPLE")),"N/A")</f>
        <v>CUMPLE</v>
      </c>
      <c r="U15" s="17" t="str">
        <f aca="false">IF(ISNUMBER(S15),INDEX(CALCULO!$D$82:$M$82,MATCH(MAX(CALCULO!$D$96:$M$96),CALCULO!$D$96:$M$96,0)),"—")</f>
        <v>0.9D−Ω0E</v>
      </c>
    </row>
    <row r="16" customFormat="false" ht="15" hidden="false" customHeight="false" outlineLevel="0" collapsed="false">
      <c r="B16" s="2" t="s">
        <v>43</v>
      </c>
      <c r="C16" s="2"/>
      <c r="D16" s="2"/>
      <c r="E16" s="2"/>
      <c r="N16" s="14" t="s">
        <v>44</v>
      </c>
      <c r="O16" s="15" t="s">
        <v>45</v>
      </c>
      <c r="P16" s="16" t="n">
        <f aca="false">IF(t_ap=0,"—",INDEX(CALCULO!$D$89:$M$89,MATCH(MAX(CALCULO!$D$97:$M$97),CALCULO!$D$97:$M$97,0))/1000)</f>
        <v>26.0957792207792</v>
      </c>
      <c r="Q16" s="16" t="n">
        <f aca="false">IF(t_ap=0,"—",p_tr/1000)</f>
        <v>55.751715</v>
      </c>
      <c r="R16" s="17" t="s">
        <v>31</v>
      </c>
      <c r="S16" s="18" t="n">
        <f aca="false">IF(t_ap=0,"N/A",MAX(CALCULO!$D$97:$M$97))</f>
        <v>0.468071326967775</v>
      </c>
      <c r="T16" s="19" t="str">
        <f aca="false">IF(ISNUMBER(S16),IF(S16&gt;1,"NO CUMPLE",IF(S16&gt;lim_verde,"AL LÍMITE","CUMPLE")),"N/A")</f>
        <v>CUMPLE</v>
      </c>
      <c r="U16" s="17" t="str">
        <f aca="false">IF(ISNUMBER(S16),INDEX(CALCULO!$D$82:$M$82,MATCH(MAX(CALCULO!$D$97:$M$97),CALCULO!$D$97:$M$97,0)),"—")</f>
        <v>0.9D−Ω0E</v>
      </c>
    </row>
    <row r="17" customFormat="false" ht="15" hidden="false" customHeight="false" outlineLevel="0" collapsed="false">
      <c r="B17" s="7" t="s">
        <v>46</v>
      </c>
      <c r="C17" s="8" t="s">
        <v>47</v>
      </c>
      <c r="D17" s="8"/>
      <c r="E17" s="3" t="s">
        <v>48</v>
      </c>
      <c r="N17" s="14" t="s">
        <v>49</v>
      </c>
      <c r="O17" s="15" t="s">
        <v>50</v>
      </c>
      <c r="P17" s="16" t="n">
        <f aca="false">IF(t_ap=0,"—",INDEX(CALCULO!$D$91:$M$91,MATCH(MAX(CALCULO!$D$98:$M$98),CALCULO!$D$98:$M$98,0))/1000)</f>
        <v>26.0957792207792</v>
      </c>
      <c r="Q17" s="16" t="n">
        <f aca="false">IF(t_ap=0,"—",p_bs/1000)</f>
        <v>86.00283</v>
      </c>
      <c r="R17" s="17" t="s">
        <v>31</v>
      </c>
      <c r="S17" s="18" t="n">
        <f aca="false">IF(t_ap=0,"N/A",MAX(CALCULO!$D$98:$M$98))</f>
        <v>0.303429308323682</v>
      </c>
      <c r="T17" s="19" t="str">
        <f aca="false">IF(ISNUMBER(S17),IF(S17&gt;1,"NO CUMPLE",IF(S17&gt;lim_verde,"AL LÍMITE","CUMPLE")),"N/A")</f>
        <v>CUMPLE</v>
      </c>
      <c r="U17" s="17" t="str">
        <f aca="false">IF(ISNUMBER(S17),INDEX(CALCULO!$D$82:$M$82,MATCH(MAX(CALCULO!$D$98:$M$98),CALCULO!$D$98:$M$98,0)),"—")</f>
        <v>0.9D−Ω0E</v>
      </c>
    </row>
    <row r="18" customFormat="false" ht="15" hidden="false" customHeight="false" outlineLevel="0" collapsed="false">
      <c r="B18" s="7" t="s">
        <v>51</v>
      </c>
      <c r="C18" s="20" t="n">
        <f aca="false">IF(cu_perfil="ARMADO (flejes soldados)",E18,INDEX(CATALOGOS!$B$5:$B$40,MATCH(cu_perfil,CATALOGOS!$A$5:$A$40,0)))</f>
        <v>400</v>
      </c>
      <c r="D18" s="11" t="s">
        <v>37</v>
      </c>
      <c r="E18" s="8" t="n">
        <v>400</v>
      </c>
      <c r="N18" s="14" t="s">
        <v>52</v>
      </c>
      <c r="O18" s="15" t="s">
        <v>53</v>
      </c>
      <c r="P18" s="16" t="str">
        <f aca="false">IF(OR(t_ap=0,k_fr=1),"—",INDEX(CALCULO!$D$90:$M$90,MATCH(MAX(CALCULO!$D$99:$M$99),CALCULO!$D$99:$M$99,0))/1000)</f>
        <v>—</v>
      </c>
      <c r="Q18" s="16" t="str">
        <f aca="false">IF(OR(t_ap=0,k_fr=1),"—",p_cb/1000)</f>
        <v>—</v>
      </c>
      <c r="R18" s="17" t="s">
        <v>31</v>
      </c>
      <c r="S18" s="18" t="str">
        <f aca="false">IF(OR(t_ap=0,k_fr=1),"N/A",MAX(CALCULO!$D$99:$M$99))</f>
        <v>N/A</v>
      </c>
      <c r="T18" s="19" t="str">
        <f aca="false">IF(ISNUMBER(S18),IF(S18&gt;1,"NO CUMPLE",IF(S18&gt;lim_verde,"AL LÍMITE","CUMPLE")),"N/A")</f>
        <v>N/A</v>
      </c>
      <c r="U18" s="17" t="str">
        <f aca="false">IF(ISNUMBER(S18),INDEX(CALCULO!$D$82:$M$82,MATCH(MAX(CALCULO!$D$99:$M$99),CALCULO!$D$99:$M$99,0)),"—")</f>
        <v>—</v>
      </c>
    </row>
    <row r="19" customFormat="false" ht="15" hidden="false" customHeight="false" outlineLevel="0" collapsed="false">
      <c r="B19" s="7" t="s">
        <v>54</v>
      </c>
      <c r="C19" s="20" t="n">
        <f aca="false">IF(cu_perfil="ARMADO (flejes soldados)",E19,INDEX(CATALOGOS!$C$5:$C$40,MATCH(cu_perfil,CATALOGOS!$A$5:$A$40,0)))</f>
        <v>200</v>
      </c>
      <c r="D19" s="11" t="s">
        <v>37</v>
      </c>
      <c r="E19" s="8" t="n">
        <v>200</v>
      </c>
      <c r="N19" s="14" t="s">
        <v>55</v>
      </c>
      <c r="O19" s="15" t="s">
        <v>45</v>
      </c>
      <c r="P19" s="16" t="n">
        <f aca="false">IF(t_ap=0,"—",INDEX(CALCULO!$D$89:$M$89,MATCH(MAX(CALCULO!$D$100:$M$100),CALCULO!$D$100:$M$100,0))/1000)</f>
        <v>26.0957792207792</v>
      </c>
      <c r="Q19" s="16" t="n">
        <f aca="false">IF(t_ap=0,"—",c_tr/1000)</f>
        <v>79.97214375</v>
      </c>
      <c r="R19" s="17" t="s">
        <v>31</v>
      </c>
      <c r="S19" s="18" t="n">
        <f aca="false">IF(t_ap=0,"N/A",MAX(CALCULO!$D$100:$M$100))</f>
        <v>0.326310862721862</v>
      </c>
      <c r="T19" s="19" t="str">
        <f aca="false">IF(ISNUMBER(S19),IF(S19&gt;1,"NO CUMPLE",IF(S19&gt;lim_verde,"AL LÍMITE","CUMPLE")),"N/A")</f>
        <v>CUMPLE</v>
      </c>
      <c r="U19" s="17" t="str">
        <f aca="false">IF(ISNUMBER(S19),INDEX(CALCULO!$D$82:$M$82,MATCH(MAX(CALCULO!$D$100:$M$100),CALCULO!$D$100:$M$100,0)),"—")</f>
        <v>0.9D−Ω0E</v>
      </c>
    </row>
    <row r="20" customFormat="false" ht="15" hidden="false" customHeight="false" outlineLevel="0" collapsed="false">
      <c r="B20" s="7" t="s">
        <v>56</v>
      </c>
      <c r="C20" s="20" t="n">
        <f aca="false">IF(cu_perfil="ARMADO (flejes soldados)",E20,INDEX(CATALOGOS!$D$5:$D$40,MATCH(cu_perfil,CATALOGOS!$A$5:$A$40,0)))</f>
        <v>8</v>
      </c>
      <c r="D20" s="11" t="s">
        <v>37</v>
      </c>
      <c r="E20" s="8" t="n">
        <v>8</v>
      </c>
      <c r="N20" s="14" t="s">
        <v>57</v>
      </c>
      <c r="O20" s="15" t="s">
        <v>50</v>
      </c>
      <c r="P20" s="16" t="n">
        <f aca="false">IF(t_ap=0,"—",INDEX(CALCULO!$D$91:$M$91,MATCH(MAX(CALCULO!$D$101:$M$101),CALCULO!$D$101:$M$101,0))/1000)</f>
        <v>26.0957792207792</v>
      </c>
      <c r="Q20" s="16" t="n">
        <f aca="false">IF(t_ap=0,"—",c_bs/1000)</f>
        <v>117.7860375</v>
      </c>
      <c r="R20" s="17" t="s">
        <v>31</v>
      </c>
      <c r="S20" s="18" t="n">
        <f aca="false">IF(t_ap=0,"N/A",MAX(CALCULO!$D$101:$M$101))</f>
        <v>0.221552399373136</v>
      </c>
      <c r="T20" s="19" t="str">
        <f aca="false">IF(ISNUMBER(S20),IF(S20&gt;1,"NO CUMPLE",IF(S20&gt;lim_verde,"AL LÍMITE","CUMPLE")),"N/A")</f>
        <v>CUMPLE</v>
      </c>
      <c r="U20" s="17" t="str">
        <f aca="false">IF(ISNUMBER(S20),INDEX(CALCULO!$D$82:$M$82,MATCH(MAX(CALCULO!$D$101:$M$101),CALCULO!$D$101:$M$101,0)),"—")</f>
        <v>0.9D−Ω0E</v>
      </c>
    </row>
    <row r="21" customFormat="false" ht="15" hidden="false" customHeight="false" outlineLevel="0" collapsed="false">
      <c r="B21" s="7" t="s">
        <v>58</v>
      </c>
      <c r="C21" s="20" t="n">
        <f aca="false">IF(cu_perfil="ARMADO (flejes soldados)",E21,INDEX(CATALOGOS!$E$5:$E$40,MATCH(cu_perfil,CATALOGOS!$A$5:$A$40,0)))</f>
        <v>15</v>
      </c>
      <c r="D21" s="11" t="s">
        <v>37</v>
      </c>
      <c r="E21" s="8" t="n">
        <v>15</v>
      </c>
      <c r="G21" s="2" t="s">
        <v>59</v>
      </c>
      <c r="H21" s="2"/>
      <c r="I21" s="2"/>
      <c r="J21" s="2"/>
      <c r="K21" s="2"/>
      <c r="L21" s="2"/>
      <c r="N21" s="13" t="s">
        <v>60</v>
      </c>
      <c r="O21" s="13"/>
      <c r="P21" s="13"/>
      <c r="Q21" s="13"/>
      <c r="R21" s="13"/>
      <c r="S21" s="13"/>
      <c r="T21" s="13"/>
      <c r="U21" s="13"/>
    </row>
    <row r="22" customFormat="false" ht="24" hidden="false" customHeight="true" outlineLevel="0" collapsed="false">
      <c r="B22" s="7" t="s">
        <v>61</v>
      </c>
      <c r="C22" s="8" t="s">
        <v>62</v>
      </c>
      <c r="D22" s="8"/>
      <c r="G22" s="21" t="s">
        <v>63</v>
      </c>
      <c r="H22" s="21" t="s">
        <v>64</v>
      </c>
      <c r="I22" s="21" t="s">
        <v>65</v>
      </c>
      <c r="J22" s="21" t="s">
        <v>66</v>
      </c>
      <c r="K22" s="21" t="s">
        <v>67</v>
      </c>
      <c r="N22" s="14" t="s">
        <v>68</v>
      </c>
      <c r="O22" s="15" t="s">
        <v>69</v>
      </c>
      <c r="P22" s="16" t="n">
        <f aca="false">IF(t_ap=0,"—",INDEX(CALCULO!$D$103:$M$103,MATCH(MAX(CALCULO!$D$104:$M$104),CALCULO!$D$104:$M$104,0))/1000)</f>
        <v>2.66478168593104</v>
      </c>
      <c r="Q22" s="16" t="n">
        <f aca="false">IF(t_ap=0,"—",MIN(w_rv,w_rvs)/1000)</f>
        <v>16.2334825154989</v>
      </c>
      <c r="R22" s="17" t="s">
        <v>31</v>
      </c>
      <c r="S22" s="18" t="n">
        <f aca="false">IF(t_ap=0,"N/A",MAX(CALCULO!$D$104:$M$104))</f>
        <v>0.164153420770118</v>
      </c>
      <c r="T22" s="19" t="str">
        <f aca="false">IF(ISNUMBER(S22),IF(S22&gt;1,"NO CUMPLE",IF(S22&gt;lim_verde,"AL LÍMITE","CUMPLE")),"N/A")</f>
        <v>CUMPLE</v>
      </c>
      <c r="U22" s="17" t="str">
        <f aca="false">IF(ISNUMBER(S22),INDEX(CALCULO!$D$82:$M$82,MATCH(MAX(CALCULO!$D$104:$M$104),CALCULO!$D$104:$M$104,0)),"—")</f>
        <v>0.9D−Ω0E</v>
      </c>
    </row>
    <row r="23" customFormat="false" ht="15" hidden="false" customHeight="false" outlineLevel="0" collapsed="false">
      <c r="B23" s="7" t="s">
        <v>70</v>
      </c>
      <c r="C23" s="22" t="n">
        <f aca="false">INDEX(CATALOGOS!$H$5:$H$10,MATCH(cu_acero,CATALOGOS!$G$5:$G$10,0))</f>
        <v>3515</v>
      </c>
      <c r="D23" s="11" t="s">
        <v>71</v>
      </c>
      <c r="E23" s="22" t="n">
        <f aca="false">INDEX(CATALOGOS!$I$5:$I$10,MATCH(cu_acero,CATALOGOS!$G$5:$G$10,0))</f>
        <v>4570</v>
      </c>
      <c r="G23" s="8" t="s">
        <v>72</v>
      </c>
      <c r="H23" s="23" t="n">
        <v>85</v>
      </c>
      <c r="I23" s="23" t="n">
        <v>2</v>
      </c>
      <c r="J23" s="23" t="n">
        <v>1</v>
      </c>
      <c r="K23" s="24" t="n">
        <f aca="false">IF(INDEX(CALCULO!$D$86:$M$86,1)=1,INDEX(CALCULO!$D$109:$M$109,1),"—")</f>
        <v>0.361142126846711</v>
      </c>
      <c r="N23" s="14" t="s">
        <v>73</v>
      </c>
      <c r="O23" s="15" t="s">
        <v>39</v>
      </c>
      <c r="P23" s="16" t="n">
        <f aca="false">IF(t_ap=0,"—",INDEX(CALCULO!$D$103:$M$103,MATCH(MAX(CALCULO!$D$105:$M$105),CALCULO!$D$105:$M$105,0))/1000)</f>
        <v>2.66478168593104</v>
      </c>
      <c r="Q23" s="16" t="n">
        <f aca="false">IF(t_ap=0,"—",w_rb/1000)</f>
        <v>9.7663185</v>
      </c>
      <c r="R23" s="17" t="s">
        <v>31</v>
      </c>
      <c r="S23" s="18" t="n">
        <f aca="false">IF(t_ap=0,"N/A",MAX(CALCULO!$D$105:$M$105))</f>
        <v>0.272854268057205</v>
      </c>
      <c r="T23" s="19" t="str">
        <f aca="false">IF(ISNUMBER(S23),IF(S23&gt;1,"NO CUMPLE",IF(S23&gt;lim_verde,"AL LÍMITE","CUMPLE")),"N/A")</f>
        <v>CUMPLE</v>
      </c>
      <c r="U23" s="17" t="str">
        <f aca="false">IF(ISNUMBER(S23),INDEX(CALCULO!$D$82:$M$82,MATCH(MAX(CALCULO!$D$105:$M$105),CALCULO!$D$105:$M$105,0)),"—")</f>
        <v>0.9D−Ω0E</v>
      </c>
    </row>
    <row r="24" customFormat="false" ht="15" hidden="false" customHeight="false" outlineLevel="0" collapsed="false">
      <c r="B24" s="2" t="s">
        <v>74</v>
      </c>
      <c r="C24" s="2"/>
      <c r="D24" s="2"/>
      <c r="E24" s="2"/>
      <c r="G24" s="8" t="s">
        <v>75</v>
      </c>
      <c r="H24" s="23" t="n">
        <v>55</v>
      </c>
      <c r="I24" s="23" t="n">
        <v>9</v>
      </c>
      <c r="J24" s="23" t="n">
        <v>4</v>
      </c>
      <c r="K24" s="24" t="n">
        <f aca="false">IF(INDEX(CALCULO!$D$86:$M$86,2)=1,INDEX(CALCULO!$D$109:$M$109,2),"—")</f>
        <v>0.233680199724342</v>
      </c>
      <c r="N24" s="14" t="s">
        <v>76</v>
      </c>
      <c r="O24" s="15" t="s">
        <v>77</v>
      </c>
      <c r="P24" s="16" t="n">
        <f aca="false">IF(t_ap=0,"—",INDEX(CALCULO!$D$106:$M$106,MATCH(MAX(CALCULO!$D$106:$M$106),CALCULO!$D$106:$M$106,0))/1)</f>
        <v>0.0875381403677582</v>
      </c>
      <c r="Q24" s="16" t="n">
        <f aca="false">IF(t_ap=0,"—",1)</f>
        <v>1</v>
      </c>
      <c r="R24" s="17" t="s">
        <v>78</v>
      </c>
      <c r="S24" s="18" t="n">
        <f aca="false">IF(t_ap=0,"N/A",MAX(CALCULO!$D$106:$M$106))</f>
        <v>0.0875381403677582</v>
      </c>
      <c r="T24" s="19" t="str">
        <f aca="false">IF(ISNUMBER(S24),IF(S24&gt;1,"NO CUMPLE",IF(S24&gt;lim_verde,"AL LÍMITE","CUMPLE")),"N/A")</f>
        <v>CUMPLE</v>
      </c>
      <c r="U24" s="17" t="str">
        <f aca="false">IF(ISNUMBER(S24),INDEX(CALCULO!$D$82:$M$82,MATCH(MAX(CALCULO!$D$106:$M$106),CALCULO!$D$106:$M$106,0)),"—")</f>
        <v>1.2D+Ω0E+L</v>
      </c>
    </row>
    <row r="25" customFormat="false" ht="15" hidden="false" customHeight="false" outlineLevel="0" collapsed="false">
      <c r="B25" s="7" t="s">
        <v>46</v>
      </c>
      <c r="C25" s="8" t="s">
        <v>79</v>
      </c>
      <c r="D25" s="8"/>
      <c r="E25" s="3" t="s">
        <v>48</v>
      </c>
      <c r="G25" s="8" t="s">
        <v>80</v>
      </c>
      <c r="H25" s="23" t="n">
        <v>-12</v>
      </c>
      <c r="I25" s="23" t="n">
        <v>8.5</v>
      </c>
      <c r="J25" s="23" t="n">
        <v>4</v>
      </c>
      <c r="K25" s="24" t="n">
        <f aca="false">IF(INDEX(CALCULO!$D$86:$M$86,3)=1,INDEX(CALCULO!$D$109:$M$109,3),"—")</f>
        <v>0.571017368159025</v>
      </c>
      <c r="N25" s="13" t="s">
        <v>81</v>
      </c>
      <c r="O25" s="13"/>
      <c r="P25" s="13"/>
      <c r="Q25" s="13"/>
      <c r="R25" s="13"/>
      <c r="S25" s="13"/>
      <c r="T25" s="13"/>
      <c r="U25" s="13"/>
    </row>
    <row r="26" customFormat="false" ht="15" hidden="false" customHeight="false" outlineLevel="0" collapsed="false">
      <c r="B26" s="7" t="s">
        <v>51</v>
      </c>
      <c r="C26" s="20" t="n">
        <f aca="false">IF(cl_perfil="ARMADO (flejes soldados)",E26,INDEX(CATALOGOS!$B$5:$B$40,MATCH(cl_perfil,CATALOGOS!$A$5:$A$40,0)))</f>
        <v>420</v>
      </c>
      <c r="D26" s="11" t="s">
        <v>37</v>
      </c>
      <c r="E26" s="8" t="n">
        <v>420</v>
      </c>
      <c r="G26" s="8" t="s">
        <v>82</v>
      </c>
      <c r="H26" s="23"/>
      <c r="I26" s="23"/>
      <c r="J26" s="23"/>
      <c r="K26" s="24" t="str">
        <f aca="false">IF(INDEX(CALCULO!$D$86:$M$86,4)=1,INDEX(CALCULO!$D$109:$M$109,4),"—")</f>
        <v>—</v>
      </c>
      <c r="N26" s="14" t="s">
        <v>83</v>
      </c>
      <c r="O26" s="15" t="s">
        <v>84</v>
      </c>
      <c r="P26" s="16" t="str">
        <f aca="false">IF(t_ap=1,"—",INDEX(CALCULO!$D$107:$M$107,MATCH(MAX(CALCULO!$D$107:$M$107),CALCULO!$D$107:$M$107,0))/1)</f>
        <v>—</v>
      </c>
      <c r="Q26" s="16" t="str">
        <f aca="false">IF(t_ap=1,"—",1)</f>
        <v>—</v>
      </c>
      <c r="R26" s="17" t="s">
        <v>78</v>
      </c>
      <c r="S26" s="18" t="str">
        <f aca="false">IF(t_ap=1,"N/A",MAX(CALCULO!$D$107:$M$107))</f>
        <v>N/A</v>
      </c>
      <c r="T26" s="19" t="str">
        <f aca="false">IF(ISNUMBER(S26),IF(S26&gt;1,"NO CUMPLE",IF(S26&gt;lim_verde,"AL LÍMITE","CUMPLE")),"N/A")</f>
        <v>N/A</v>
      </c>
      <c r="U26" s="17" t="str">
        <f aca="false">IF(ISNUMBER(S26),INDEX(CALCULO!$D$82:$M$82,MATCH(MAX(CALCULO!$D$107:$M$107),CALCULO!$D$107:$M$107,0)),"—")</f>
        <v>—</v>
      </c>
    </row>
    <row r="27" customFormat="false" ht="15" hidden="false" customHeight="false" outlineLevel="0" collapsed="false">
      <c r="B27" s="7" t="s">
        <v>54</v>
      </c>
      <c r="C27" s="20" t="n">
        <f aca="false">IF(cl_perfil="ARMADO (flejes soldados)",E27,INDEX(CATALOGOS!$C$5:$C$40,MATCH(cl_perfil,CATALOGOS!$A$5:$A$40,0)))</f>
        <v>210</v>
      </c>
      <c r="D27" s="11" t="s">
        <v>37</v>
      </c>
      <c r="E27" s="8" t="n">
        <v>210</v>
      </c>
      <c r="G27" s="8" t="s">
        <v>85</v>
      </c>
      <c r="H27" s="23"/>
      <c r="I27" s="23"/>
      <c r="J27" s="23"/>
      <c r="K27" s="24" t="str">
        <f aca="false">IF(INDEX(CALCULO!$D$86:$M$86,5)=1,INDEX(CALCULO!$D$109:$M$109,5),"—")</f>
        <v>—</v>
      </c>
      <c r="N27" s="14" t="s">
        <v>86</v>
      </c>
      <c r="O27" s="15" t="s">
        <v>84</v>
      </c>
      <c r="P27" s="16" t="str">
        <f aca="false">IF(t_ap=1,"—",INDEX(CALCULO!$D$85:$M$85,MATCH(MAX(CALCULO!$D$108:$M$108),CALCULO!$D$108:$M$108,0))/1000)</f>
        <v>—</v>
      </c>
      <c r="Q27" s="16" t="str">
        <f aca="false">IF(t_ap=1,"—",s_Rwv/1000/k_s2)</f>
        <v>—</v>
      </c>
      <c r="R27" s="17" t="s">
        <v>31</v>
      </c>
      <c r="S27" s="18" t="str">
        <f aca="false">IF(t_ap=1,"N/A",MAX(CALCULO!$D$108:$M$108))</f>
        <v>N/A</v>
      </c>
      <c r="T27" s="19" t="str">
        <f aca="false">IF(ISNUMBER(S27),IF(S27&gt;1,"NO CUMPLE",IF(S27&gt;lim_verde,"AL LÍMITE","CUMPLE")),"N/A")</f>
        <v>N/A</v>
      </c>
      <c r="U27" s="17" t="str">
        <f aca="false">IF(ISNUMBER(S27),INDEX(CALCULO!$D$82:$M$82,MATCH(MAX(CALCULO!$D$108:$M$108),CALCULO!$D$108:$M$108,0)),"—")</f>
        <v>—</v>
      </c>
    </row>
    <row r="28" customFormat="false" ht="15" hidden="false" customHeight="false" outlineLevel="0" collapsed="false">
      <c r="B28" s="7" t="s">
        <v>56</v>
      </c>
      <c r="C28" s="20" t="n">
        <f aca="false">IF(cl_perfil="ARMADO (flejes soldados)",E28,INDEX(CATALOGOS!$D$5:$D$40,MATCH(cl_perfil,CATALOGOS!$A$5:$A$40,0)))</f>
        <v>8</v>
      </c>
      <c r="D28" s="11" t="s">
        <v>37</v>
      </c>
      <c r="E28" s="8" t="n">
        <v>8</v>
      </c>
      <c r="G28" s="8" t="s">
        <v>87</v>
      </c>
      <c r="H28" s="23"/>
      <c r="I28" s="23"/>
      <c r="J28" s="23"/>
      <c r="K28" s="24" t="str">
        <f aca="false">IF(INDEX(CALCULO!$D$86:$M$86,6)=1,INDEX(CALCULO!$D$109:$M$109,6),"—")</f>
        <v>—</v>
      </c>
      <c r="N28" s="14" t="s">
        <v>88</v>
      </c>
      <c r="O28" s="15" t="s">
        <v>89</v>
      </c>
      <c r="P28" s="25" t="str">
        <f aca="false">IF(t_pjp=0,"—",s_Emin)</f>
        <v>—</v>
      </c>
      <c r="Q28" s="25" t="str">
        <f aca="false">IF(t_pjp=0,"—",E_f)</f>
        <v>—</v>
      </c>
      <c r="R28" s="17" t="s">
        <v>37</v>
      </c>
      <c r="S28" s="18" t="str">
        <f aca="false">IF(t_pjp=0,"N/A",(s_Emin)/MAX(E_f,0.000000001))</f>
        <v>N/A</v>
      </c>
      <c r="T28" s="19" t="str">
        <f aca="false">IF(ISNUMBER(S28),IF(S28&gt;1,"NO CUMPLE",IF(S28&gt;lim_verde,"AL LÍMITE","CUMPLE")),"N/A")</f>
        <v>N/A</v>
      </c>
      <c r="U28" s="17" t="s">
        <v>90</v>
      </c>
    </row>
    <row r="29" customFormat="false" ht="15" hidden="false" customHeight="false" outlineLevel="0" collapsed="false">
      <c r="B29" s="7" t="s">
        <v>58</v>
      </c>
      <c r="C29" s="20" t="n">
        <f aca="false">IF(cl_perfil="ARMADO (flejes soldados)",E29,INDEX(CATALOGOS!$E$5:$E$40,MATCH(cl_perfil,CATALOGOS!$A$5:$A$40,0)))</f>
        <v>15</v>
      </c>
      <c r="D29" s="11" t="s">
        <v>37</v>
      </c>
      <c r="E29" s="8" t="n">
        <v>15</v>
      </c>
      <c r="G29" s="8" t="s">
        <v>91</v>
      </c>
      <c r="H29" s="23"/>
      <c r="I29" s="23"/>
      <c r="J29" s="23"/>
      <c r="K29" s="24" t="str">
        <f aca="false">IF(INDEX(CALCULO!$D$86:$M$86,7)=1,INDEX(CALCULO!$D$109:$M$109,7),"—")</f>
        <v>—</v>
      </c>
      <c r="N29" s="14" t="s">
        <v>92</v>
      </c>
      <c r="O29" s="15" t="s">
        <v>89</v>
      </c>
      <c r="P29" s="25" t="str">
        <f aca="false">IF(t_pjp=0,"—",IF(MIN(cu_tw_mm,cl_tw_mm)&lt;=6,3,IF(MIN(cu_tw_mm,cl_tw_mm)&lt;=13,5,6)))</f>
        <v>—</v>
      </c>
      <c r="Q29" s="25" t="str">
        <f aca="false">IF(t_pjp=0,"—",E_w)</f>
        <v>—</v>
      </c>
      <c r="R29" s="17" t="s">
        <v>37</v>
      </c>
      <c r="S29" s="18" t="str">
        <f aca="false">IF(t_pjp=0,"N/A",(IF(MIN(cu_tw_mm,cl_tw_mm)&lt;=6,3,IF(MIN(cu_tw_mm,cl_tw_mm)&lt;=13,5,6)))/MAX(E_w,0.000000001))</f>
        <v>N/A</v>
      </c>
      <c r="T29" s="19" t="str">
        <f aca="false">IF(ISNUMBER(S29),IF(S29&gt;1,"NO CUMPLE",IF(S29&gt;lim_verde,"AL LÍMITE","CUMPLE")),"N/A")</f>
        <v>N/A</v>
      </c>
      <c r="U29" s="17" t="s">
        <v>90</v>
      </c>
    </row>
    <row r="30" customFormat="false" ht="15" hidden="false" customHeight="false" outlineLevel="0" collapsed="false">
      <c r="B30" s="7" t="s">
        <v>61</v>
      </c>
      <c r="C30" s="8" t="s">
        <v>62</v>
      </c>
      <c r="D30" s="8"/>
      <c r="G30" s="8" t="s">
        <v>93</v>
      </c>
      <c r="H30" s="23"/>
      <c r="I30" s="23"/>
      <c r="J30" s="23"/>
      <c r="K30" s="24" t="str">
        <f aca="false">IF(INDEX(CALCULO!$D$86:$M$86,8)=1,INDEX(CALCULO!$D$109:$M$109,8),"—")</f>
        <v>—</v>
      </c>
      <c r="N30" s="14" t="s">
        <v>94</v>
      </c>
      <c r="O30" s="15" t="s">
        <v>95</v>
      </c>
      <c r="P30" s="25" t="str">
        <f aca="false">IF(t_pjp=0,"—",E_f)</f>
        <v>—</v>
      </c>
      <c r="Q30" s="25" t="str">
        <f aca="false">IF(t_pjp=0,"—",MIN(cu_tf_mm,cl_tf_mm))</f>
        <v>—</v>
      </c>
      <c r="R30" s="17" t="s">
        <v>37</v>
      </c>
      <c r="S30" s="18" t="str">
        <f aca="false">IF(t_pjp=0,"N/A",(E_f)/MAX(MIN(cu_tf_mm,cl_tf_mm),0.000000001))</f>
        <v>N/A</v>
      </c>
      <c r="T30" s="19" t="str">
        <f aca="false">IF(ISNUMBER(S30),IF(S30&gt;1,"NO CUMPLE",IF(S30&gt;lim_verde,"AL LÍMITE","CUMPLE")),"N/A")</f>
        <v>N/A</v>
      </c>
      <c r="U30" s="17" t="s">
        <v>90</v>
      </c>
    </row>
    <row r="31" customFormat="false" ht="15" hidden="false" customHeight="false" outlineLevel="0" collapsed="false">
      <c r="B31" s="7" t="s">
        <v>70</v>
      </c>
      <c r="C31" s="22" t="n">
        <f aca="false">INDEX(CATALOGOS!$H$5:$H$10,MATCH(cl_acero,CATALOGOS!$G$5:$G$10,0))</f>
        <v>3515</v>
      </c>
      <c r="D31" s="11" t="s">
        <v>71</v>
      </c>
      <c r="E31" s="22" t="n">
        <f aca="false">INDEX(CATALOGOS!$I$5:$I$10,MATCH(cl_acero,CATALOGOS!$G$5:$G$10,0))</f>
        <v>4570</v>
      </c>
      <c r="G31" s="8" t="s">
        <v>96</v>
      </c>
      <c r="H31" s="23"/>
      <c r="I31" s="23"/>
      <c r="J31" s="23"/>
      <c r="K31" s="24" t="str">
        <f aca="false">IF(INDEX(CALCULO!$D$86:$M$86,9)=1,INDEX(CALCULO!$D$109:$M$109,9),"—")</f>
        <v>—</v>
      </c>
      <c r="N31" s="13" t="s">
        <v>97</v>
      </c>
      <c r="O31" s="13"/>
      <c r="P31" s="13"/>
      <c r="Q31" s="13"/>
      <c r="R31" s="13"/>
      <c r="S31" s="13"/>
      <c r="T31" s="13"/>
      <c r="U31" s="13"/>
    </row>
    <row r="32" customFormat="false" ht="15" hidden="false" customHeight="false" outlineLevel="0" collapsed="false">
      <c r="B32" s="2" t="s">
        <v>98</v>
      </c>
      <c r="C32" s="2"/>
      <c r="D32" s="2"/>
      <c r="E32" s="2"/>
      <c r="G32" s="8" t="s">
        <v>99</v>
      </c>
      <c r="H32" s="23"/>
      <c r="I32" s="23"/>
      <c r="J32" s="23"/>
      <c r="K32" s="24" t="str">
        <f aca="false">IF(INDEX(CALCULO!$D$86:$M$86,10)=1,INDEX(CALCULO!$D$109:$M$109,10),"—")</f>
        <v>—</v>
      </c>
      <c r="N32" s="14" t="s">
        <v>100</v>
      </c>
      <c r="O32" s="15" t="s">
        <v>101</v>
      </c>
      <c r="P32" s="25" t="n">
        <f aca="false">IF(sismico="No","—",1200)</f>
        <v>1200</v>
      </c>
      <c r="Q32" s="25" t="n">
        <f aca="false">IF(sismico="No","—",dist_v)</f>
        <v>1500</v>
      </c>
      <c r="R32" s="17" t="s">
        <v>37</v>
      </c>
      <c r="S32" s="18" t="n">
        <f aca="false">IF(sismico="No","N/A",(1200)/MAX(dist_v,0.000000001))</f>
        <v>0.8</v>
      </c>
      <c r="T32" s="19" t="str">
        <f aca="false">IF(ISNUMBER(S32),IF(S32&gt;1,"NO CUMPLE",IF(S32&gt;lim_verde,"AL LÍMITE","CUMPLE")),"N/A")</f>
        <v>CUMPLE</v>
      </c>
      <c r="U32" s="17" t="s">
        <v>90</v>
      </c>
    </row>
    <row r="33" customFormat="false" ht="15" hidden="false" customHeight="false" outlineLevel="0" collapsed="false">
      <c r="B33" s="7" t="s">
        <v>61</v>
      </c>
      <c r="C33" s="8" t="s">
        <v>62</v>
      </c>
      <c r="D33" s="8"/>
      <c r="G33" s="26" t="s">
        <v>102</v>
      </c>
      <c r="N33" s="14" t="s">
        <v>103</v>
      </c>
      <c r="O33" s="15" t="s">
        <v>104</v>
      </c>
      <c r="P33" s="16" t="n">
        <f aca="false">IF(k_fr=0,"—",MAX(0,(l_d-u_d)/2))</f>
        <v>1</v>
      </c>
      <c r="Q33" s="16" t="n">
        <f aca="false">IF(k_fr=0,"—",MIN(u_tf,l_tf))</f>
        <v>1.5</v>
      </c>
      <c r="R33" s="17" t="s">
        <v>105</v>
      </c>
      <c r="S33" s="18" t="n">
        <f aca="false">IF(k_fr=0,"N/A",IF(k_ov&lt;=0,1.5,MAX(0,ABS(l_d-u_d)/2)/MAX(MIN(u_tf,l_tf),0.000000001)))</f>
        <v>0.666666666666667</v>
      </c>
      <c r="T33" s="19" t="str">
        <f aca="false">IF(ISNUMBER(S33),IF(S33&gt;1,"NO CUMPLE",IF(S33&gt;lim_verde,"AL LÍMITE","CUMPLE")),"N/A")</f>
        <v>CUMPLE</v>
      </c>
      <c r="U33" s="17" t="s">
        <v>90</v>
      </c>
    </row>
    <row r="34" customFormat="false" ht="15" hidden="false" customHeight="false" outlineLevel="0" collapsed="false">
      <c r="B34" s="7" t="s">
        <v>70</v>
      </c>
      <c r="C34" s="22" t="n">
        <f aca="false">INDEX(CATALOGOS!$H$5:$H$10,MATCH(pf_acero,CATALOGOS!$G$5:$G$10,0))</f>
        <v>3515</v>
      </c>
      <c r="D34" s="11" t="s">
        <v>71</v>
      </c>
      <c r="E34" s="22" t="n">
        <f aca="false">INDEX(CATALOGOS!$I$5:$I$10,MATCH(pf_acero,CATALOGOS!$G$5:$G$10,0))</f>
        <v>4570</v>
      </c>
      <c r="N34" s="14" t="s">
        <v>106</v>
      </c>
      <c r="O34" s="15" t="s">
        <v>107</v>
      </c>
      <c r="P34" s="27" t="n">
        <f aca="false">IF(t_ap=0,"—",fill_t)</f>
        <v>10</v>
      </c>
      <c r="Q34" s="27" t="n">
        <f aca="false">IF(t_ap=0,"—",19)</f>
        <v>19</v>
      </c>
      <c r="R34" s="17" t="s">
        <v>37</v>
      </c>
      <c r="S34" s="18" t="n">
        <f aca="false">IF(t_ap=0,"N/A",(fill_t)/MAX(19,0.000000001))</f>
        <v>0.526315789473684</v>
      </c>
      <c r="T34" s="19" t="str">
        <f aca="false">IF(ISNUMBER(S34),IF(S34&gt;1,"NO CUMPLE",IF(S34&gt;lim_verde,"AL LÍMITE","CUMPLE")),"N/A")</f>
        <v>CUMPLE</v>
      </c>
      <c r="U34" s="17" t="s">
        <v>90</v>
      </c>
    </row>
    <row r="35" customFormat="false" ht="15" hidden="false" customHeight="false" outlineLevel="0" collapsed="false">
      <c r="B35" s="7" t="s">
        <v>108</v>
      </c>
      <c r="C35" s="8" t="n">
        <v>180</v>
      </c>
      <c r="D35" s="11" t="s">
        <v>37</v>
      </c>
      <c r="G35" s="2" t="s">
        <v>109</v>
      </c>
      <c r="H35" s="2"/>
      <c r="I35" s="2"/>
      <c r="J35" s="2"/>
      <c r="K35" s="2"/>
      <c r="L35" s="2"/>
      <c r="N35" s="14" t="s">
        <v>110</v>
      </c>
      <c r="O35" s="15" t="s">
        <v>95</v>
      </c>
      <c r="P35" s="16" t="n">
        <f aca="false">IF(t_ap=0,"—",pf_b/10)</f>
        <v>18</v>
      </c>
      <c r="Q35" s="16" t="n">
        <f aca="false">IF(t_ap=0,"—",MIN(u_bf,l_bf))</f>
        <v>20</v>
      </c>
      <c r="R35" s="17" t="s">
        <v>105</v>
      </c>
      <c r="S35" s="18" t="n">
        <f aca="false">IF(t_ap=0,"N/A",(pf_b/10)/MAX(MIN(u_bf,l_bf),0.000000001))</f>
        <v>0.9</v>
      </c>
      <c r="T35" s="19" t="str">
        <f aca="false">IF(ISNUMBER(S35),IF(S35&gt;1,"NO CUMPLE",IF(S35&gt;lim_verde,"AL LÍMITE","CUMPLE")),"N/A")</f>
        <v>CUMPLE</v>
      </c>
      <c r="U35" s="17" t="s">
        <v>90</v>
      </c>
    </row>
    <row r="36" customFormat="false" ht="15" hidden="false" customHeight="false" outlineLevel="0" collapsed="false">
      <c r="B36" s="7" t="s">
        <v>111</v>
      </c>
      <c r="C36" s="8" t="n">
        <v>12</v>
      </c>
      <c r="D36" s="11" t="s">
        <v>37</v>
      </c>
      <c r="G36" s="28" t="s">
        <v>112</v>
      </c>
      <c r="H36" s="29" t="str">
        <f aca="false">G23</f>
        <v>1.2D+1.6L</v>
      </c>
      <c r="I36" s="29"/>
      <c r="K36" s="30" t="n">
        <f aca="false">IFERROR(MATCH(H36,cb_nom,0),1)</f>
        <v>1</v>
      </c>
      <c r="N36" s="14" t="s">
        <v>113</v>
      </c>
      <c r="O36" s="15" t="s">
        <v>114</v>
      </c>
      <c r="P36" s="16" t="n">
        <f aca="false">IF(t_ap=0,"—",3*fa_db)</f>
        <v>5.715</v>
      </c>
      <c r="Q36" s="16" t="n">
        <f aca="false">IF(t_ap=0,"—",fa_s/10)</f>
        <v>7.5</v>
      </c>
      <c r="R36" s="17" t="s">
        <v>105</v>
      </c>
      <c r="S36" s="18" t="n">
        <f aca="false">IF(t_ap=0,"N/A",(3*fa_db)/MAX(fa_s/10,0.000000001))</f>
        <v>0.762</v>
      </c>
      <c r="T36" s="19" t="str">
        <f aca="false">IF(ISNUMBER(S36),IF(S36&gt;1,"NO CUMPLE",IF(S36&gt;lim_verde,"AL LÍMITE","CUMPLE")),"N/A")</f>
        <v>CUMPLE</v>
      </c>
      <c r="U36" s="17" t="s">
        <v>90</v>
      </c>
    </row>
    <row r="37" customFormat="false" ht="15" hidden="false" customHeight="false" outlineLevel="0" collapsed="false">
      <c r="B37" s="7" t="s">
        <v>115</v>
      </c>
      <c r="C37" s="20" t="n">
        <f aca="false">ABS(cl_d_mm-cu_d_mm)/2</f>
        <v>10</v>
      </c>
      <c r="D37" s="11" t="s">
        <v>37</v>
      </c>
      <c r="G37" s="31" t="s">
        <v>116</v>
      </c>
      <c r="H37" s="31"/>
      <c r="I37" s="31"/>
      <c r="J37" s="32" t="n">
        <f aca="false">INDEX(CALCULO!$D$89:$M$89,det_k)/1000</f>
        <v>0</v>
      </c>
      <c r="K37" s="32"/>
      <c r="L37" s="11" t="s">
        <v>31</v>
      </c>
      <c r="N37" s="14" t="s">
        <v>117</v>
      </c>
      <c r="O37" s="15" t="s">
        <v>118</v>
      </c>
      <c r="P37" s="16" t="n">
        <f aca="false">IF(t_ap=0,"—",fa_em)</f>
        <v>2.54</v>
      </c>
      <c r="Q37" s="16" t="n">
        <f aca="false">IF(t_ap=0,"—",fa_Lec/10)</f>
        <v>4</v>
      </c>
      <c r="R37" s="17" t="s">
        <v>105</v>
      </c>
      <c r="S37" s="18" t="n">
        <f aca="false">IF(t_ap=0,"N/A",(fa_em)/MAX(fa_Lec/10,0.000000001))</f>
        <v>0.635</v>
      </c>
      <c r="T37" s="19" t="str">
        <f aca="false">IF(ISNUMBER(S37),IF(S37&gt;1,"NO CUMPLE",IF(S37&gt;lim_verde,"AL LÍMITE","CUMPLE")),"N/A")</f>
        <v>CUMPLE</v>
      </c>
      <c r="U37" s="17" t="s">
        <v>90</v>
      </c>
    </row>
    <row r="38" customFormat="false" ht="15" hidden="false" customHeight="false" outlineLevel="0" collapsed="false">
      <c r="B38" s="2" t="s">
        <v>119</v>
      </c>
      <c r="C38" s="2"/>
      <c r="D38" s="2"/>
      <c r="E38" s="2"/>
      <c r="G38" s="31" t="s">
        <v>120</v>
      </c>
      <c r="H38" s="31"/>
      <c r="I38" s="31"/>
      <c r="J38" s="32" t="n">
        <f aca="false">INDEX(CALCULO!$D$90:$M$90,det_k)/1000</f>
        <v>0</v>
      </c>
      <c r="K38" s="32"/>
      <c r="L38" s="11" t="s">
        <v>31</v>
      </c>
      <c r="N38" s="14" t="s">
        <v>121</v>
      </c>
      <c r="O38" s="15" t="s">
        <v>118</v>
      </c>
      <c r="P38" s="16" t="n">
        <f aca="false">IF(t_ap=0,"—",fa_em)</f>
        <v>2.54</v>
      </c>
      <c r="Q38" s="16" t="n">
        <f aca="false">IF(t_ap=0,"—",fa_Lep/10)</f>
        <v>4</v>
      </c>
      <c r="R38" s="17" t="s">
        <v>105</v>
      </c>
      <c r="S38" s="18" t="n">
        <f aca="false">IF(t_ap=0,"N/A",(fa_em)/MAX(fa_Lep/10,0.000000001))</f>
        <v>0.635</v>
      </c>
      <c r="T38" s="19" t="str">
        <f aca="false">IF(ISNUMBER(S38),IF(S38&gt;1,"NO CUMPLE",IF(S38&gt;lim_verde,"AL LÍMITE","CUMPLE")),"N/A")</f>
        <v>CUMPLE</v>
      </c>
      <c r="U38" s="17" t="s">
        <v>90</v>
      </c>
    </row>
    <row r="39" customFormat="false" ht="15" hidden="false" customHeight="false" outlineLevel="0" collapsed="false">
      <c r="B39" s="7" t="s">
        <v>122</v>
      </c>
      <c r="C39" s="8" t="s">
        <v>123</v>
      </c>
      <c r="D39" s="8"/>
      <c r="E39" s="8"/>
      <c r="G39" s="31" t="s">
        <v>124</v>
      </c>
      <c r="H39" s="31"/>
      <c r="I39" s="31"/>
      <c r="J39" s="32" t="n">
        <f aca="false">INDEX(CALCULO!$D$92:$M$92,det_k)/1000</f>
        <v>0</v>
      </c>
      <c r="K39" s="32"/>
      <c r="L39" s="11" t="s">
        <v>31</v>
      </c>
      <c r="N39" s="14" t="s">
        <v>125</v>
      </c>
      <c r="O39" s="15" t="s">
        <v>118</v>
      </c>
      <c r="P39" s="16" t="n">
        <f aca="false">IF(t_ap=0,"—",fa_em)</f>
        <v>2.54</v>
      </c>
      <c r="Q39" s="16" t="n">
        <f aca="false">IF(t_ap=0,"—",(pf_b-fa_g)/20)</f>
        <v>3.5</v>
      </c>
      <c r="R39" s="17" t="s">
        <v>105</v>
      </c>
      <c r="S39" s="18" t="n">
        <f aca="false">IF(t_ap=0,"N/A",(fa_em)/MAX((pf_b-fa_g)/20,0.000000001))</f>
        <v>0.725714285714286</v>
      </c>
      <c r="T39" s="19" t="str">
        <f aca="false">IF(ISNUMBER(S39),IF(S39&gt;1,"NO CUMPLE",IF(S39&gt;lim_verde,"AL LÍMITE","CUMPLE")),"N/A")</f>
        <v>CUMPLE</v>
      </c>
      <c r="U39" s="17" t="s">
        <v>90</v>
      </c>
    </row>
    <row r="40" customFormat="false" ht="15" hidden="false" customHeight="false" outlineLevel="0" collapsed="false">
      <c r="B40" s="7" t="s">
        <v>126</v>
      </c>
      <c r="C40" s="8" t="s">
        <v>127</v>
      </c>
      <c r="D40" s="8"/>
      <c r="G40" s="31" t="s">
        <v>128</v>
      </c>
      <c r="H40" s="31"/>
      <c r="I40" s="31"/>
      <c r="J40" s="32" t="n">
        <f aca="false">INDEX(CALCULO!$D$103:$M$103,det_k)/1000</f>
        <v>0.507105511703432</v>
      </c>
      <c r="K40" s="32"/>
      <c r="L40" s="11" t="s">
        <v>31</v>
      </c>
      <c r="N40" s="14" t="s">
        <v>129</v>
      </c>
      <c r="O40" s="15" t="s">
        <v>95</v>
      </c>
      <c r="P40" s="16" t="n">
        <f aca="false">IF(t_ap=0,"—",1.5*fa_db)</f>
        <v>2.8575</v>
      </c>
      <c r="Q40" s="16" t="n">
        <f aca="false">IF(t_ap=0,"—",fa_g/20-u_tw/2)</f>
        <v>5.1</v>
      </c>
      <c r="R40" s="17" t="s">
        <v>105</v>
      </c>
      <c r="S40" s="18" t="n">
        <f aca="false">IF(t_ap=0,"N/A",(1.5*fa_db)/MAX(fa_g/20-u_tw/2,0.000000001))</f>
        <v>0.560294117647059</v>
      </c>
      <c r="T40" s="19" t="str">
        <f aca="false">IF(ISNUMBER(S40),IF(S40&gt;1,"NO CUMPLE",IF(S40&gt;lim_verde,"AL LÍMITE","CUMPLE")),"N/A")</f>
        <v>CUMPLE</v>
      </c>
      <c r="U40" s="17" t="s">
        <v>90</v>
      </c>
    </row>
    <row r="41" customFormat="false" ht="15" hidden="false" customHeight="false" outlineLevel="0" collapsed="false">
      <c r="B41" s="7" t="s">
        <v>130</v>
      </c>
      <c r="C41" s="8" t="s">
        <v>131</v>
      </c>
      <c r="D41" s="8"/>
      <c r="E41" s="8"/>
      <c r="G41" s="31" t="s">
        <v>132</v>
      </c>
      <c r="H41" s="31"/>
      <c r="I41" s="31"/>
      <c r="J41" s="33" t="n">
        <f aca="false">fill_t</f>
        <v>10</v>
      </c>
      <c r="K41" s="33"/>
      <c r="L41" s="34" t="n">
        <f aca="false">f_fill</f>
        <v>0.9384</v>
      </c>
      <c r="N41" s="14" t="s">
        <v>133</v>
      </c>
      <c r="O41" s="15" t="s">
        <v>95</v>
      </c>
      <c r="P41" s="16" t="n">
        <f aca="false">IF(t_ap=0,"—",pw_b/10)</f>
        <v>20</v>
      </c>
      <c r="Q41" s="16" t="n">
        <f aca="false">IF(t_ap=0,"—",u_d-2*(u_tf+0.6))</f>
        <v>35.8</v>
      </c>
      <c r="R41" s="17" t="s">
        <v>105</v>
      </c>
      <c r="S41" s="18" t="n">
        <f aca="false">IF(t_ap=0,"N/A",(pw_b/10)/MAX(u_d-2*(u_tf+0.6),0.000000001))</f>
        <v>0.558659217877095</v>
      </c>
      <c r="T41" s="19" t="str">
        <f aca="false">IF(ISNUMBER(S41),IF(S41&gt;1,"NO CUMPLE",IF(S41&gt;lim_verde,"AL LÍMITE","CUMPLE")),"N/A")</f>
        <v>CUMPLE</v>
      </c>
      <c r="U41" s="17" t="s">
        <v>90</v>
      </c>
    </row>
    <row r="42" customFormat="false" ht="15" hidden="false" customHeight="false" outlineLevel="0" collapsed="false">
      <c r="B42" s="7" t="s">
        <v>134</v>
      </c>
      <c r="C42" s="8" t="n">
        <v>3</v>
      </c>
      <c r="D42" s="11"/>
      <c r="G42" s="31" t="s">
        <v>135</v>
      </c>
      <c r="H42" s="31"/>
      <c r="I42" s="31"/>
      <c r="J42" s="33" t="n">
        <f aca="false">k_Ab</f>
        <v>49.6</v>
      </c>
      <c r="K42" s="33"/>
      <c r="L42" s="11" t="s">
        <v>136</v>
      </c>
      <c r="N42" s="14" t="s">
        <v>137</v>
      </c>
      <c r="O42" s="15" t="s">
        <v>114</v>
      </c>
      <c r="P42" s="16" t="n">
        <f aca="false">IF(t_ap=0,"—",3*wa_db)</f>
        <v>5.715</v>
      </c>
      <c r="Q42" s="16" t="n">
        <f aca="false">IF(t_ap=0,"—",wa_sv/10)</f>
        <v>7.5</v>
      </c>
      <c r="R42" s="17" t="s">
        <v>105</v>
      </c>
      <c r="S42" s="18" t="n">
        <f aca="false">IF(t_ap=0,"N/A",(3*wa_db)/MAX(wa_sv/10,0.000000001))</f>
        <v>0.762</v>
      </c>
      <c r="T42" s="19" t="str">
        <f aca="false">IF(ISNUMBER(S42),IF(S42&gt;1,"NO CUMPLE",IF(S42&gt;lim_verde,"AL LÍMITE","CUMPLE")),"N/A")</f>
        <v>CUMPLE</v>
      </c>
      <c r="U42" s="17" t="s">
        <v>90</v>
      </c>
    </row>
    <row r="43" customFormat="false" ht="15" hidden="false" customHeight="false" outlineLevel="0" collapsed="false">
      <c r="B43" s="7" t="s">
        <v>138</v>
      </c>
      <c r="C43" s="8" t="n">
        <v>110</v>
      </c>
      <c r="D43" s="11" t="s">
        <v>37</v>
      </c>
      <c r="G43" s="31" t="s">
        <v>139</v>
      </c>
      <c r="H43" s="31"/>
      <c r="I43" s="31"/>
      <c r="J43" s="32" t="n">
        <f aca="false">INDEX(CALCULO!$D$109:$M$109,det_k)</f>
        <v>0.361142126846711</v>
      </c>
      <c r="K43" s="32"/>
      <c r="L43" s="11"/>
      <c r="N43" s="14" t="s">
        <v>140</v>
      </c>
      <c r="O43" s="15" t="s">
        <v>118</v>
      </c>
      <c r="P43" s="16" t="n">
        <f aca="false">IF(t_ap=0,"—",wa_em)</f>
        <v>2.54</v>
      </c>
      <c r="Q43" s="16" t="n">
        <f aca="false">IF(t_ap=0,"—",MIN(wa_Le/10,(pw_b/10-(wa_nc-1)*wa_sh/10)/2))</f>
        <v>4</v>
      </c>
      <c r="R43" s="17" t="s">
        <v>105</v>
      </c>
      <c r="S43" s="18" t="n">
        <f aca="false">IF(t_ap=0,"N/A",(wa_em)/MAX(MIN(wa_Le/10,(pw_b/10-(wa_nc-1)*wa_sh/10)/2),0.000000001))</f>
        <v>0.635</v>
      </c>
      <c r="T43" s="19" t="str">
        <f aca="false">IF(ISNUMBER(S43),IF(S43&gt;1,"NO CUMPLE",IF(S43&gt;lim_verde,"AL LÍMITE","CUMPLE")),"N/A")</f>
        <v>CUMPLE</v>
      </c>
      <c r="U43" s="17" t="s">
        <v>90</v>
      </c>
    </row>
    <row r="44" customFormat="false" ht="15" hidden="false" customHeight="false" outlineLevel="0" collapsed="false">
      <c r="B44" s="7" t="s">
        <v>141</v>
      </c>
      <c r="C44" s="8" t="n">
        <v>75</v>
      </c>
      <c r="D44" s="11" t="s">
        <v>37</v>
      </c>
      <c r="N44" s="14" t="s">
        <v>142</v>
      </c>
      <c r="O44" s="15" t="s">
        <v>143</v>
      </c>
      <c r="P44" s="25" t="str">
        <f aca="false">IF(sismico&lt;&gt;"Sí (SMF)","—",0)</f>
        <v>—</v>
      </c>
      <c r="Q44" s="25" t="str">
        <f aca="false">IF(sismico&lt;&gt;"Sí (SMF)","—",1)</f>
        <v>—</v>
      </c>
      <c r="R44" s="17" t="s">
        <v>78</v>
      </c>
      <c r="S44" s="18" t="str">
        <f aca="false">IF(sismico&lt;&gt;"Sí (SMF)","N/A",IF(t_cjp=1,0,0.95))</f>
        <v>N/A</v>
      </c>
      <c r="T44" s="19" t="str">
        <f aca="false">IF(ISNUMBER(S44),IF(S44&gt;1,"NO CUMPLE",IF(S44&gt;lim_verde,"AL LÍMITE","CUMPLE")),"N/A")</f>
        <v>N/A</v>
      </c>
      <c r="U44" s="17" t="s">
        <v>90</v>
      </c>
    </row>
    <row r="45" customFormat="false" ht="15" hidden="false" customHeight="false" outlineLevel="0" collapsed="false">
      <c r="B45" s="7" t="s">
        <v>144</v>
      </c>
      <c r="C45" s="8" t="n">
        <v>40</v>
      </c>
      <c r="D45" s="11" t="s">
        <v>37</v>
      </c>
    </row>
    <row r="46" customFormat="false" ht="15" hidden="false" customHeight="false" outlineLevel="0" collapsed="false">
      <c r="B46" s="7" t="s">
        <v>145</v>
      </c>
      <c r="C46" s="8" t="n">
        <v>40</v>
      </c>
      <c r="D46" s="11" t="s">
        <v>37</v>
      </c>
      <c r="N46" s="2" t="s">
        <v>146</v>
      </c>
      <c r="O46" s="2"/>
      <c r="P46" s="2"/>
      <c r="Q46" s="2"/>
      <c r="R46" s="2"/>
      <c r="S46" s="2"/>
      <c r="T46" s="2"/>
      <c r="U46" s="2"/>
    </row>
    <row r="47" customFormat="false" ht="15" hidden="false" customHeight="false" outlineLevel="0" collapsed="false">
      <c r="B47" s="2" t="s">
        <v>147</v>
      </c>
      <c r="C47" s="2"/>
      <c r="D47" s="2"/>
      <c r="E47" s="2"/>
      <c r="N47" s="35" t="s">
        <v>148</v>
      </c>
      <c r="O47" s="35"/>
      <c r="P47" s="35"/>
      <c r="Q47" s="35"/>
      <c r="R47" s="35"/>
      <c r="S47" s="35"/>
      <c r="T47" s="35"/>
      <c r="U47" s="35"/>
    </row>
    <row r="48" customFormat="false" ht="15" hidden="false" customHeight="false" outlineLevel="0" collapsed="false">
      <c r="B48" s="7" t="s">
        <v>61</v>
      </c>
      <c r="C48" s="8" t="s">
        <v>149</v>
      </c>
      <c r="D48" s="8"/>
      <c r="N48" s="35" t="s">
        <v>150</v>
      </c>
      <c r="O48" s="35"/>
      <c r="P48" s="35"/>
      <c r="Q48" s="35"/>
      <c r="R48" s="35"/>
      <c r="S48" s="35"/>
      <c r="T48" s="35"/>
      <c r="U48" s="35"/>
    </row>
    <row r="49" customFormat="false" ht="15" hidden="false" customHeight="false" outlineLevel="0" collapsed="false">
      <c r="B49" s="7" t="s">
        <v>70</v>
      </c>
      <c r="C49" s="22" t="n">
        <f aca="false">INDEX(CATALOGOS!$H$5:$H$10,MATCH(pw_acero,CATALOGOS!$G$5:$G$10,0))</f>
        <v>2530</v>
      </c>
      <c r="D49" s="11" t="s">
        <v>71</v>
      </c>
      <c r="E49" s="22" t="n">
        <f aca="false">INDEX(CATALOGOS!$I$5:$I$10,MATCH(pw_acero,CATALOGOS!$G$5:$G$10,0))</f>
        <v>4080</v>
      </c>
      <c r="N49" s="35" t="s">
        <v>151</v>
      </c>
      <c r="O49" s="35"/>
      <c r="P49" s="35"/>
      <c r="Q49" s="35"/>
      <c r="R49" s="35"/>
      <c r="S49" s="35"/>
      <c r="T49" s="35"/>
      <c r="U49" s="35"/>
    </row>
    <row r="50" customFormat="false" ht="15" hidden="false" customHeight="false" outlineLevel="0" collapsed="false">
      <c r="B50" s="7" t="s">
        <v>152</v>
      </c>
      <c r="C50" s="8" t="n">
        <v>200</v>
      </c>
      <c r="D50" s="11" t="s">
        <v>37</v>
      </c>
      <c r="N50" s="35" t="s">
        <v>153</v>
      </c>
      <c r="O50" s="35"/>
      <c r="P50" s="35"/>
      <c r="Q50" s="35"/>
      <c r="R50" s="35"/>
      <c r="S50" s="35"/>
      <c r="T50" s="35"/>
      <c r="U50" s="35"/>
    </row>
    <row r="51" customFormat="false" ht="15" hidden="false" customHeight="false" outlineLevel="0" collapsed="false">
      <c r="B51" s="7" t="s">
        <v>154</v>
      </c>
      <c r="C51" s="8" t="n">
        <v>8</v>
      </c>
      <c r="D51" s="11" t="s">
        <v>37</v>
      </c>
      <c r="N51" s="35" t="s">
        <v>155</v>
      </c>
      <c r="O51" s="35"/>
      <c r="P51" s="35"/>
      <c r="Q51" s="35"/>
      <c r="R51" s="35"/>
      <c r="S51" s="35"/>
      <c r="T51" s="35"/>
      <c r="U51" s="35"/>
    </row>
    <row r="52" customFormat="false" ht="15" hidden="false" customHeight="false" outlineLevel="0" collapsed="false">
      <c r="B52" s="7" t="s">
        <v>122</v>
      </c>
      <c r="C52" s="8" t="s">
        <v>123</v>
      </c>
      <c r="D52" s="8"/>
      <c r="E52" s="8"/>
      <c r="N52" s="35" t="s">
        <v>156</v>
      </c>
      <c r="O52" s="35"/>
      <c r="P52" s="35"/>
      <c r="Q52" s="35"/>
      <c r="R52" s="35"/>
      <c r="S52" s="35"/>
      <c r="T52" s="35"/>
      <c r="U52" s="35"/>
    </row>
    <row r="53" customFormat="false" ht="15" hidden="false" customHeight="false" outlineLevel="0" collapsed="false">
      <c r="B53" s="7" t="s">
        <v>126</v>
      </c>
      <c r="C53" s="8" t="s">
        <v>127</v>
      </c>
      <c r="D53" s="8"/>
      <c r="N53" s="35" t="s">
        <v>157</v>
      </c>
      <c r="O53" s="35"/>
      <c r="P53" s="35"/>
      <c r="Q53" s="35"/>
      <c r="R53" s="35"/>
      <c r="S53" s="35"/>
      <c r="T53" s="35"/>
      <c r="U53" s="35"/>
    </row>
    <row r="54" customFormat="false" ht="15" hidden="false" customHeight="false" outlineLevel="0" collapsed="false">
      <c r="B54" s="7" t="s">
        <v>158</v>
      </c>
      <c r="C54" s="8" t="n">
        <v>2</v>
      </c>
      <c r="D54" s="11"/>
    </row>
    <row r="55" customFormat="false" ht="15" hidden="false" customHeight="false" outlineLevel="0" collapsed="false">
      <c r="B55" s="7" t="s">
        <v>159</v>
      </c>
      <c r="C55" s="8" t="n">
        <v>2</v>
      </c>
      <c r="D55" s="11"/>
    </row>
    <row r="56" customFormat="false" ht="15" hidden="false" customHeight="false" outlineLevel="0" collapsed="false">
      <c r="B56" s="7" t="s">
        <v>160</v>
      </c>
      <c r="C56" s="8" t="n">
        <v>75</v>
      </c>
      <c r="D56" s="11" t="s">
        <v>37</v>
      </c>
    </row>
    <row r="57" customFormat="false" ht="15" hidden="false" customHeight="false" outlineLevel="0" collapsed="false">
      <c r="B57" s="7" t="s">
        <v>161</v>
      </c>
      <c r="C57" s="8" t="n">
        <v>100</v>
      </c>
      <c r="D57" s="11" t="s">
        <v>37</v>
      </c>
    </row>
    <row r="58" customFormat="false" ht="15" hidden="false" customHeight="false" outlineLevel="0" collapsed="false">
      <c r="B58" s="7" t="s">
        <v>162</v>
      </c>
      <c r="C58" s="8" t="n">
        <v>40</v>
      </c>
      <c r="D58" s="11" t="s">
        <v>37</v>
      </c>
    </row>
    <row r="59" customFormat="false" ht="15" hidden="false" customHeight="false" outlineLevel="0" collapsed="false">
      <c r="B59" s="2" t="s">
        <v>163</v>
      </c>
      <c r="C59" s="2"/>
      <c r="D59" s="2"/>
      <c r="E59" s="2"/>
    </row>
    <row r="60" customFormat="false" ht="15" hidden="false" customHeight="false" outlineLevel="0" collapsed="false">
      <c r="B60" s="7" t="s">
        <v>164</v>
      </c>
      <c r="C60" s="8" t="s">
        <v>165</v>
      </c>
      <c r="D60" s="8"/>
    </row>
    <row r="61" customFormat="false" ht="15" hidden="false" customHeight="false" outlineLevel="0" collapsed="false">
      <c r="B61" s="7" t="s">
        <v>166</v>
      </c>
      <c r="C61" s="8" t="n">
        <v>10</v>
      </c>
      <c r="D61" s="11" t="s">
        <v>37</v>
      </c>
    </row>
    <row r="62" customFormat="false" ht="15" hidden="false" customHeight="false" outlineLevel="0" collapsed="false">
      <c r="B62" s="7" t="s">
        <v>167</v>
      </c>
      <c r="C62" s="8" t="n">
        <v>6</v>
      </c>
      <c r="D62" s="11" t="s">
        <v>37</v>
      </c>
    </row>
  </sheetData>
  <mergeCells count="59">
    <mergeCell ref="B2:U2"/>
    <mergeCell ref="B3:U3"/>
    <mergeCell ref="B6:E6"/>
    <mergeCell ref="G6:I6"/>
    <mergeCell ref="J6:L6"/>
    <mergeCell ref="N6:U6"/>
    <mergeCell ref="C7:E7"/>
    <mergeCell ref="N7:U8"/>
    <mergeCell ref="C8:E8"/>
    <mergeCell ref="B10:E10"/>
    <mergeCell ref="C11:E11"/>
    <mergeCell ref="N11:U11"/>
    <mergeCell ref="C13:E13"/>
    <mergeCell ref="B16:E16"/>
    <mergeCell ref="C17:D17"/>
    <mergeCell ref="G21:L21"/>
    <mergeCell ref="N21:U21"/>
    <mergeCell ref="C22:D22"/>
    <mergeCell ref="B24:E24"/>
    <mergeCell ref="C25:D25"/>
    <mergeCell ref="N25:U25"/>
    <mergeCell ref="C30:D30"/>
    <mergeCell ref="N31:U31"/>
    <mergeCell ref="B32:E32"/>
    <mergeCell ref="C33:D33"/>
    <mergeCell ref="G35:L35"/>
    <mergeCell ref="H36:I36"/>
    <mergeCell ref="G37:I37"/>
    <mergeCell ref="J37:K37"/>
    <mergeCell ref="B38:E38"/>
    <mergeCell ref="G38:I38"/>
    <mergeCell ref="J38:K38"/>
    <mergeCell ref="C39:E39"/>
    <mergeCell ref="G39:I39"/>
    <mergeCell ref="J39:K39"/>
    <mergeCell ref="C40:D40"/>
    <mergeCell ref="G40:I40"/>
    <mergeCell ref="J40:K40"/>
    <mergeCell ref="C41:E41"/>
    <mergeCell ref="G41:I41"/>
    <mergeCell ref="J41:K41"/>
    <mergeCell ref="G42:I42"/>
    <mergeCell ref="J42:K42"/>
    <mergeCell ref="G43:I43"/>
    <mergeCell ref="J43:K43"/>
    <mergeCell ref="N46:U46"/>
    <mergeCell ref="B47:E47"/>
    <mergeCell ref="N47:U47"/>
    <mergeCell ref="C48:D48"/>
    <mergeCell ref="N48:U48"/>
    <mergeCell ref="N49:U49"/>
    <mergeCell ref="N50:U50"/>
    <mergeCell ref="N51:U51"/>
    <mergeCell ref="C52:E52"/>
    <mergeCell ref="N52:U52"/>
    <mergeCell ref="C53:D53"/>
    <mergeCell ref="N53:U53"/>
    <mergeCell ref="B59:E59"/>
    <mergeCell ref="C60:D60"/>
  </mergeCells>
  <conditionalFormatting sqref="E18:E21">
    <cfRule type="expression" priority="2" aboveAverage="0" equalAverage="0" bottom="0" percent="0" rank="0" text="" dxfId="0">
      <formula>$C$17&lt;&gt;"ARMADO (flejes soldados)"</formula>
    </cfRule>
  </conditionalFormatting>
  <conditionalFormatting sqref="E26:E29">
    <cfRule type="expression" priority="3" aboveAverage="0" equalAverage="0" bottom="0" percent="0" rank="0" text="" dxfId="0">
      <formula>$C$25&lt;&gt;"ARMADO (flejes soldados)"</formula>
    </cfRule>
  </conditionalFormatting>
  <conditionalFormatting sqref="C33:C58">
    <cfRule type="expression" priority="4" aboveAverage="0" equalAverage="0" bottom="0" percent="0" rank="0" text="" dxfId="0">
      <formula>$C$11&lt;&gt;"Placas apernadas"</formula>
    </cfRule>
  </conditionalFormatting>
  <conditionalFormatting sqref="C61:C62">
    <cfRule type="expression" priority="5" aboveAverage="0" equalAverage="0" bottom="0" percent="0" rank="0" text="" dxfId="0">
      <formula>$C$11&lt;&gt;"Soldado PJP"</formula>
    </cfRule>
  </conditionalFormatting>
  <conditionalFormatting sqref="S12:S44">
    <cfRule type="expression" priority="6" aboveAverage="0" equalAverage="0" bottom="0" percent="0" rank="0" text="" dxfId="1">
      <formula>AND(ISNUMBER(S12),S12&gt;1)</formula>
    </cfRule>
    <cfRule type="expression" priority="7" aboveAverage="0" equalAverage="0" bottom="0" percent="0" rank="0" text="" dxfId="2">
      <formula>AND(ISNUMBER(S12),S12&gt;lim_verde,S12&lt;=1)</formula>
    </cfRule>
    <cfRule type="expression" priority="8" aboveAverage="0" equalAverage="0" bottom="0" percent="0" rank="0" text="" dxfId="3">
      <formula>AND(ISNUMBER(S12),S12&lt;=lim_verde)</formula>
    </cfRule>
  </conditionalFormatting>
  <conditionalFormatting sqref="T12:T44">
    <cfRule type="expression" priority="9" aboveAverage="0" equalAverage="0" bottom="0" percent="0" rank="0" text="" dxfId="1">
      <formula>T12="NO CUMPLE"</formula>
    </cfRule>
    <cfRule type="expression" priority="10" aboveAverage="0" equalAverage="0" bottom="0" percent="0" rank="0" text="" dxfId="2">
      <formula>T12="AL LÍMITE"</formula>
    </cfRule>
    <cfRule type="expression" priority="11" aboveAverage="0" equalAverage="0" bottom="0" percent="0" rank="0" text="" dxfId="3">
      <formula>T12="CUMPLE"</formula>
    </cfRule>
    <cfRule type="expression" priority="12" aboveAverage="0" equalAverage="0" bottom="0" percent="0" rank="0" text="" dxfId="4">
      <formula>T12="N/A"</formula>
    </cfRule>
  </conditionalFormatting>
  <conditionalFormatting sqref="N7:U8">
    <cfRule type="expression" priority="13" aboveAverage="0" equalAverage="0" bottom="0" percent="0" rank="0" text="" dxfId="5">
      <formula>LEFT($N$7,1)="✖"</formula>
    </cfRule>
    <cfRule type="expression" priority="14" aboveAverage="0" equalAverage="0" bottom="0" percent="0" rank="0" text="" dxfId="6">
      <formula>LEFT($N$7,1)="▲"</formula>
    </cfRule>
    <cfRule type="expression" priority="15" aboveAverage="0" equalAverage="0" bottom="0" percent="0" rank="0" text="" dxfId="7">
      <formula>LEFT($N$7,1)="✔"</formula>
    </cfRule>
  </conditionalFormatting>
  <conditionalFormatting sqref="K23:K32">
    <cfRule type="expression" priority="16" aboveAverage="0" equalAverage="0" bottom="0" percent="0" rank="0" text="" dxfId="1">
      <formula>AND(ISNUMBER(K23),K23&gt;1)</formula>
    </cfRule>
    <cfRule type="expression" priority="17" aboveAverage="0" equalAverage="0" bottom="0" percent="0" rank="0" text="" dxfId="2">
      <formula>AND(ISNUMBER(K23),K23&gt;lim_verde,K23&lt;=1)</formula>
    </cfRule>
    <cfRule type="expression" priority="18" aboveAverage="0" equalAverage="0" bottom="0" percent="0" rank="0" text="" dxfId="3">
      <formula>AND(ISNUMBER(K23),K23&lt;=lim_verde)</formula>
    </cfRule>
  </conditionalFormatting>
  <dataValidations count="11">
    <dataValidation allowBlank="true" errorStyle="stop" operator="between" showDropDown="false" showErrorMessage="false" showInputMessage="false" sqref="C12" type="list">
      <formula1>CATALOGOS!$X$5:$X$6</formula1>
      <formula2>0</formula2>
    </dataValidation>
    <dataValidation allowBlank="true" error="Valor fuera de la lista. ¿Usarlo igual?" errorStyle="warning" operator="between" showDropDown="false" showErrorMessage="false" showInputMessage="false" sqref="C36 C51" type="list">
      <formula1>CATALOGOS!$AB$5:$AB$25</formula1>
      <formula2>0</formula2>
    </dataValidation>
    <dataValidation allowBlank="true" errorStyle="stop" operator="between" showDropDown="false" showErrorMessage="false" showInputMessage="false" sqref="C11" type="list">
      <formula1>"Placas apernadas,Soldado PJP,Soldado CJP"</formula1>
      <formula2>0</formula2>
    </dataValidation>
    <dataValidation allowBlank="true" errorStyle="stop" operator="between" showDropDown="false" showErrorMessage="false" showInputMessage="false" sqref="C13" type="list">
      <formula1>"No,Sí (SMF),Sí (otros sistemas)"</formula1>
      <formula2>0</formula2>
    </dataValidation>
    <dataValidation allowBlank="true" errorStyle="stop" operator="between" showDropDown="false" showErrorMessage="false" showInputMessage="false" sqref="C17 C25" type="list">
      <formula1>CATALOGOS!$A$5:$A$40</formula1>
      <formula2>0</formula2>
    </dataValidation>
    <dataValidation allowBlank="true" errorStyle="stop" operator="between" showDropDown="false" showErrorMessage="false" showInputMessage="false" sqref="C22 C30 C33 C48" type="list">
      <formula1>CATALOGOS!$G$5:$G$10</formula1>
      <formula2>0</formula2>
    </dataValidation>
    <dataValidation allowBlank="true" errorStyle="stop" operator="between" showDropDown="false" showErrorMessage="false" showInputMessage="false" sqref="C39 C52" type="list">
      <formula1>CATALOGOS!$K$5:$K$8</formula1>
      <formula2>0</formula2>
    </dataValidation>
    <dataValidation allowBlank="true" errorStyle="stop" operator="between" showDropDown="false" showErrorMessage="false" showInputMessage="false" sqref="C40 C53" type="list">
      <formula1>CATALOGOS!$O$5:$O$10</formula1>
      <formula2>0</formula2>
    </dataValidation>
    <dataValidation allowBlank="true" errorStyle="stop" operator="between" showDropDown="false" showErrorMessage="false" showInputMessage="false" sqref="C41" type="list">
      <formula1>CATALOGOS!$Z$5:$Z$7</formula1>
      <formula2>0</formula2>
    </dataValidation>
    <dataValidation allowBlank="true" errorStyle="stop" operator="between" showDropDown="false" showErrorMessage="false" showInputMessage="false" sqref="C60" type="list">
      <formula1>CATALOGOS!$U$5:$U$6</formula1>
      <formula2>0</formula2>
    </dataValidation>
    <dataValidation allowBlank="false" errorStyle="stop" operator="between" showDropDown="false" showErrorMessage="false" showInputMessage="false" sqref="H36" type="list">
      <formula1>$G$23:$G$32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1" topLeftCell="D82" activePane="bottomRight" state="frozen"/>
      <selection pane="topLeft" activeCell="A1" activeCellId="0" sqref="A1"/>
      <selection pane="topRight" activeCell="D1" activeCellId="0" sqref="D1"/>
      <selection pane="bottomLeft" activeCell="A82" activeCellId="0" sqref="A8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  <col collapsed="false" customWidth="true" hidden="false" outlineLevel="0" max="3" min="3" style="0" width="14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36" t="s">
        <v>168</v>
      </c>
    </row>
    <row r="2" customFormat="false" ht="15" hidden="false" customHeight="false" outlineLevel="0" collapsed="false">
      <c r="A2" s="3" t="s">
        <v>169</v>
      </c>
    </row>
    <row r="4" customFormat="false" ht="15" hidden="false" customHeight="false" outlineLevel="0" collapsed="false">
      <c r="A4" s="37" t="s">
        <v>170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customFormat="false" ht="15" hidden="false" customHeight="false" outlineLevel="0" collapsed="false">
      <c r="A5" s="38" t="s">
        <v>171</v>
      </c>
      <c r="B5" s="38" t="s">
        <v>172</v>
      </c>
      <c r="C5" s="38" t="s">
        <v>78</v>
      </c>
      <c r="D5" s="39" t="n">
        <f aca="false">IF(tipo="Placas apernadas",1,0)</f>
        <v>1</v>
      </c>
    </row>
    <row r="6" customFormat="false" ht="15" hidden="false" customHeight="false" outlineLevel="0" collapsed="false">
      <c r="A6" s="38" t="s">
        <v>173</v>
      </c>
      <c r="B6" s="38" t="s">
        <v>174</v>
      </c>
      <c r="C6" s="38" t="s">
        <v>78</v>
      </c>
      <c r="D6" s="39" t="n">
        <f aca="false">IF(tipo="Soldado PJP",1,0)</f>
        <v>0</v>
      </c>
    </row>
    <row r="7" customFormat="false" ht="15" hidden="false" customHeight="false" outlineLevel="0" collapsed="false">
      <c r="A7" s="38" t="s">
        <v>175</v>
      </c>
      <c r="B7" s="38" t="s">
        <v>176</v>
      </c>
      <c r="C7" s="38" t="s">
        <v>78</v>
      </c>
      <c r="D7" s="39" t="n">
        <f aca="false">IF(tipo="Soldado CJP",1,0)</f>
        <v>0</v>
      </c>
    </row>
    <row r="8" customFormat="false" ht="15" hidden="false" customHeight="false" outlineLevel="0" collapsed="false">
      <c r="A8" s="38" t="s">
        <v>177</v>
      </c>
      <c r="B8" s="38" t="s">
        <v>178</v>
      </c>
      <c r="C8" s="38" t="s">
        <v>78</v>
      </c>
      <c r="D8" s="39" t="n">
        <f aca="false">IF(fresado="Sí",1,0)</f>
        <v>1</v>
      </c>
    </row>
    <row r="9" customFormat="false" ht="15" hidden="false" customHeight="false" outlineLevel="0" collapsed="false">
      <c r="A9" s="38" t="s">
        <v>179</v>
      </c>
      <c r="B9" s="38" t="s">
        <v>180</v>
      </c>
      <c r="C9" s="38" t="s">
        <v>78</v>
      </c>
      <c r="D9" s="40" t="n">
        <f aca="false">IF(AND(LEFT(sismico,2)="Sí",t_pjp=1),2,1)</f>
        <v>1</v>
      </c>
    </row>
    <row r="10" customFormat="false" ht="15" hidden="false" customHeight="false" outlineLevel="0" collapsed="false">
      <c r="A10" s="38" t="s">
        <v>181</v>
      </c>
      <c r="B10" s="38" t="s">
        <v>182</v>
      </c>
      <c r="C10" s="38" t="s">
        <v>71</v>
      </c>
      <c r="D10" s="39" t="n">
        <f aca="false">2040000</f>
        <v>2040000</v>
      </c>
    </row>
    <row r="11" customFormat="false" ht="15" hidden="false" customHeight="false" outlineLevel="0" collapsed="false">
      <c r="A11" s="38" t="s">
        <v>183</v>
      </c>
      <c r="B11" s="38" t="s">
        <v>184</v>
      </c>
      <c r="C11" s="38" t="s">
        <v>105</v>
      </c>
      <c r="D11" s="41" t="n">
        <f aca="false">cu_d_mm/10</f>
        <v>40</v>
      </c>
    </row>
    <row r="12" customFormat="false" ht="15" hidden="false" customHeight="false" outlineLevel="0" collapsed="false">
      <c r="A12" s="38" t="s">
        <v>185</v>
      </c>
      <c r="B12" s="38" t="s">
        <v>186</v>
      </c>
      <c r="C12" s="38" t="s">
        <v>105</v>
      </c>
      <c r="D12" s="41" t="n">
        <f aca="false">cu_bf_mm/10</f>
        <v>20</v>
      </c>
    </row>
    <row r="13" customFormat="false" ht="15" hidden="false" customHeight="false" outlineLevel="0" collapsed="false">
      <c r="A13" s="38" t="s">
        <v>187</v>
      </c>
      <c r="B13" s="38" t="s">
        <v>188</v>
      </c>
      <c r="C13" s="38" t="s">
        <v>105</v>
      </c>
      <c r="D13" s="41" t="n">
        <f aca="false">cu_tw_mm/10</f>
        <v>0.8</v>
      </c>
    </row>
    <row r="14" customFormat="false" ht="15" hidden="false" customHeight="false" outlineLevel="0" collapsed="false">
      <c r="A14" s="38" t="s">
        <v>189</v>
      </c>
      <c r="B14" s="38" t="s">
        <v>186</v>
      </c>
      <c r="C14" s="38" t="s">
        <v>105</v>
      </c>
      <c r="D14" s="41" t="n">
        <f aca="false">cu_tf_mm/10</f>
        <v>1.5</v>
      </c>
    </row>
    <row r="15" customFormat="false" ht="15" hidden="false" customHeight="false" outlineLevel="0" collapsed="false">
      <c r="A15" s="38" t="s">
        <v>190</v>
      </c>
      <c r="B15" s="38" t="s">
        <v>184</v>
      </c>
      <c r="C15" s="38" t="s">
        <v>105</v>
      </c>
      <c r="D15" s="41" t="n">
        <f aca="false">cl_d_mm/10</f>
        <v>42</v>
      </c>
    </row>
    <row r="16" customFormat="false" ht="15" hidden="false" customHeight="false" outlineLevel="0" collapsed="false">
      <c r="A16" s="38" t="s">
        <v>191</v>
      </c>
      <c r="B16" s="38" t="s">
        <v>186</v>
      </c>
      <c r="C16" s="38" t="s">
        <v>105</v>
      </c>
      <c r="D16" s="41" t="n">
        <f aca="false">cl_bf_mm/10</f>
        <v>21</v>
      </c>
    </row>
    <row r="17" customFormat="false" ht="15" hidden="false" customHeight="false" outlineLevel="0" collapsed="false">
      <c r="A17" s="38" t="s">
        <v>192</v>
      </c>
      <c r="B17" s="38" t="s">
        <v>188</v>
      </c>
      <c r="C17" s="38" t="s">
        <v>105</v>
      </c>
      <c r="D17" s="41" t="n">
        <f aca="false">cl_tw_mm/10</f>
        <v>0.8</v>
      </c>
    </row>
    <row r="18" customFormat="false" ht="15" hidden="false" customHeight="false" outlineLevel="0" collapsed="false">
      <c r="A18" s="38" t="s">
        <v>193</v>
      </c>
      <c r="B18" s="38" t="s">
        <v>186</v>
      </c>
      <c r="C18" s="38" t="s">
        <v>105</v>
      </c>
      <c r="D18" s="41" t="n">
        <f aca="false">cl_tf_mm/10</f>
        <v>1.5</v>
      </c>
    </row>
    <row r="19" customFormat="false" ht="15" hidden="false" customHeight="false" outlineLevel="0" collapsed="false">
      <c r="A19" s="38" t="s">
        <v>194</v>
      </c>
      <c r="B19" s="38" t="s">
        <v>195</v>
      </c>
      <c r="C19" s="38" t="s">
        <v>136</v>
      </c>
      <c r="D19" s="42" t="n">
        <f aca="false">u_bf*u_tf</f>
        <v>30</v>
      </c>
    </row>
    <row r="20" customFormat="false" ht="15" hidden="false" customHeight="false" outlineLevel="0" collapsed="false">
      <c r="A20" s="38" t="s">
        <v>196</v>
      </c>
      <c r="B20" s="38" t="s">
        <v>197</v>
      </c>
      <c r="C20" s="38" t="s">
        <v>136</v>
      </c>
      <c r="D20" s="42" t="n">
        <f aca="false">2*u_bf*u_tf+(u_d-2*u_tf)*u_tw</f>
        <v>89.6</v>
      </c>
    </row>
    <row r="21" customFormat="false" ht="15" hidden="false" customHeight="false" outlineLevel="0" collapsed="false">
      <c r="A21" s="38" t="s">
        <v>198</v>
      </c>
      <c r="B21" s="38" t="s">
        <v>199</v>
      </c>
      <c r="C21" s="38" t="s">
        <v>136</v>
      </c>
      <c r="D21" s="42" t="n">
        <f aca="false">u_A-2*u_Af</f>
        <v>29.6</v>
      </c>
    </row>
    <row r="22" customFormat="false" ht="15" hidden="false" customHeight="false" outlineLevel="0" collapsed="false">
      <c r="A22" s="38" t="s">
        <v>200</v>
      </c>
      <c r="B22" s="38" t="s">
        <v>201</v>
      </c>
      <c r="C22" s="38" t="s">
        <v>71</v>
      </c>
      <c r="D22" s="39" t="n">
        <f aca="false">MIN(cu_Fy,cl_Fy)</f>
        <v>3515</v>
      </c>
    </row>
    <row r="23" customFormat="false" ht="15" hidden="false" customHeight="false" outlineLevel="0" collapsed="false">
      <c r="A23" s="38" t="s">
        <v>202</v>
      </c>
      <c r="B23" s="38" t="s">
        <v>203</v>
      </c>
      <c r="C23" s="38" t="s">
        <v>71</v>
      </c>
      <c r="D23" s="39" t="n">
        <f aca="false">MIN(cu_Fu,cl_Fu)</f>
        <v>4570</v>
      </c>
    </row>
    <row r="24" customFormat="false" ht="15" hidden="false" customHeight="false" outlineLevel="0" collapsed="false">
      <c r="A24" s="38" t="s">
        <v>204</v>
      </c>
      <c r="B24" s="38" t="s">
        <v>205</v>
      </c>
      <c r="C24" s="38" t="s">
        <v>105</v>
      </c>
      <c r="D24" s="41" t="n">
        <f aca="false">MAX(0,MIN(u_d,l_d)/2-MAX(u_d/2-u_tf,l_d/2-l_tf))</f>
        <v>0.5</v>
      </c>
    </row>
    <row r="25" customFormat="false" ht="15" hidden="false" customHeight="false" outlineLevel="0" collapsed="false">
      <c r="A25" s="38" t="s">
        <v>206</v>
      </c>
      <c r="B25" s="38" t="s">
        <v>207</v>
      </c>
      <c r="C25" s="38" t="s">
        <v>136</v>
      </c>
      <c r="D25" s="40" t="n">
        <f aca="false">2*MIN(u_bf,l_bf)*k_ov+MIN(u_tw,l_tw)*(u_d-2*u_tf)</f>
        <v>49.6</v>
      </c>
    </row>
    <row r="26" customFormat="false" ht="15" hidden="false" customHeight="false" outlineLevel="0" collapsed="false">
      <c r="A26" s="38" t="s">
        <v>208</v>
      </c>
      <c r="B26" s="38" t="s">
        <v>209</v>
      </c>
      <c r="C26" s="38" t="s">
        <v>210</v>
      </c>
      <c r="D26" s="39" t="n">
        <f aca="false">0.75*1.8*k_Fy*k_Ab</f>
        <v>235364.4</v>
      </c>
    </row>
    <row r="27" customFormat="false" ht="15" hidden="false" customHeight="false" outlineLevel="0" collapsed="false">
      <c r="A27" s="38" t="s">
        <v>211</v>
      </c>
      <c r="B27" s="38" t="s">
        <v>212</v>
      </c>
      <c r="C27" s="38" t="s">
        <v>78</v>
      </c>
      <c r="D27" s="39" t="n">
        <f aca="false">IF(LEFT(junta,3)="Des",1,0)</f>
        <v>0</v>
      </c>
    </row>
    <row r="28" customFormat="false" ht="15" hidden="false" customHeight="false" outlineLevel="0" collapsed="false">
      <c r="A28" s="38" t="s">
        <v>213</v>
      </c>
      <c r="B28" s="38" t="s">
        <v>214</v>
      </c>
      <c r="C28" s="38" t="s">
        <v>78</v>
      </c>
      <c r="D28" s="42" t="n">
        <f aca="false">IF(RIGHT(junta,5)="0.50)",0.5,0.3)</f>
        <v>0.3</v>
      </c>
    </row>
    <row r="29" customFormat="false" ht="15" hidden="false" customHeight="false" outlineLevel="0" collapsed="false">
      <c r="A29" s="37" t="s">
        <v>215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customFormat="false" ht="15" hidden="false" customHeight="false" outlineLevel="0" collapsed="false">
      <c r="A30" s="38" t="s">
        <v>216</v>
      </c>
      <c r="B30" s="38" t="s">
        <v>217</v>
      </c>
      <c r="C30" s="38" t="s">
        <v>218</v>
      </c>
      <c r="D30" s="41" t="n">
        <f aca="false">INDEX(CATALOGOS!$P$5:$P$10,MATCH(fa_diam,CATALOGOS!$O$5:$O$10,0))</f>
        <v>0.75</v>
      </c>
    </row>
    <row r="31" customFormat="false" ht="15" hidden="false" customHeight="false" outlineLevel="0" collapsed="false">
      <c r="A31" s="38" t="s">
        <v>216</v>
      </c>
      <c r="B31" s="38" t="s">
        <v>217</v>
      </c>
      <c r="C31" s="38" t="s">
        <v>105</v>
      </c>
      <c r="D31" s="41" t="n">
        <f aca="false">fa_dbi*2.54</f>
        <v>1.905</v>
      </c>
    </row>
    <row r="32" customFormat="false" ht="15" hidden="false" customHeight="false" outlineLevel="0" collapsed="false">
      <c r="A32" s="38" t="s">
        <v>219</v>
      </c>
      <c r="B32" s="38" t="s">
        <v>220</v>
      </c>
      <c r="C32" s="38" t="s">
        <v>136</v>
      </c>
      <c r="D32" s="41" t="n">
        <f aca="false">PI()*fa_db^2/4</f>
        <v>2.85022956992342</v>
      </c>
    </row>
    <row r="33" customFormat="false" ht="15" hidden="false" customHeight="false" outlineLevel="0" collapsed="false">
      <c r="A33" s="38" t="s">
        <v>221</v>
      </c>
      <c r="B33" s="38" t="s">
        <v>222</v>
      </c>
      <c r="C33" s="38" t="s">
        <v>105</v>
      </c>
      <c r="D33" s="41" t="n">
        <f aca="false">IF(fa_dbi&lt;1,fa_dbi+1/16,fa_dbi+1/8)*2.54</f>
        <v>2.06375</v>
      </c>
    </row>
    <row r="34" customFormat="false" ht="15" hidden="false" customHeight="false" outlineLevel="0" collapsed="false">
      <c r="A34" s="38" t="s">
        <v>223</v>
      </c>
      <c r="B34" s="38" t="s">
        <v>224</v>
      </c>
      <c r="C34" s="38" t="s">
        <v>105</v>
      </c>
      <c r="D34" s="41" t="n">
        <f aca="false">fa_dh+0.15875</f>
        <v>2.2225</v>
      </c>
    </row>
    <row r="35" customFormat="false" ht="15" hidden="false" customHeight="false" outlineLevel="0" collapsed="false">
      <c r="A35" s="38" t="s">
        <v>225</v>
      </c>
      <c r="B35" s="38" t="s">
        <v>226</v>
      </c>
      <c r="C35" s="38" t="s">
        <v>105</v>
      </c>
      <c r="D35" s="41" t="n">
        <f aca="false">INDEX(CATALOGOS!$Q$5:$Q$10,MATCH(fa_diam,CATALOGOS!$O$5:$O$10,0))*2.54</f>
        <v>2.54</v>
      </c>
    </row>
    <row r="36" customFormat="false" ht="15" hidden="false" customHeight="false" outlineLevel="0" collapsed="false">
      <c r="A36" s="38" t="s">
        <v>227</v>
      </c>
      <c r="B36" s="38" t="s">
        <v>228</v>
      </c>
      <c r="C36" s="38" t="s">
        <v>71</v>
      </c>
      <c r="D36" s="39" t="n">
        <f aca="false">INDEX(CATALOGOS!$L$5:$L$8,MATCH(fa_grado,CATALOGOS!$K$5:$K$8,0))</f>
        <v>3797</v>
      </c>
    </row>
    <row r="37" customFormat="false" ht="15" hidden="false" customHeight="false" outlineLevel="0" collapsed="false">
      <c r="A37" s="38" t="s">
        <v>229</v>
      </c>
      <c r="B37" s="38" t="s">
        <v>230</v>
      </c>
      <c r="C37" s="38" t="s">
        <v>210</v>
      </c>
      <c r="D37" s="39" t="n">
        <f aca="false">IF(INDEX(CATALOGOS!$M$5:$M$8,MATCH(fa_grado,CATALOGOS!$K$5:$K$8,0))="A",INDEX(CATALOGOS!$R$5:$R$10,MATCH(fa_diam,CATALOGOS!$O$5:$O$10,0)),INDEX(CATALOGOS!$S$5:$S$10,MATCH(fa_diam,CATALOGOS!$O$5:$O$10,0)))</f>
        <v>12701</v>
      </c>
    </row>
    <row r="38" customFormat="false" ht="15" hidden="false" customHeight="false" outlineLevel="0" collapsed="false">
      <c r="A38" s="38" t="s">
        <v>231</v>
      </c>
      <c r="B38" s="38" t="s">
        <v>232</v>
      </c>
      <c r="C38" s="38" t="s">
        <v>78</v>
      </c>
      <c r="D38" s="39" t="n">
        <f aca="false">2*fa_n</f>
        <v>6</v>
      </c>
    </row>
    <row r="39" customFormat="false" ht="15" hidden="false" customHeight="false" outlineLevel="0" collapsed="false">
      <c r="A39" s="38" t="s">
        <v>233</v>
      </c>
      <c r="B39" s="38" t="s">
        <v>234</v>
      </c>
      <c r="C39" s="38" t="s">
        <v>78</v>
      </c>
      <c r="D39" s="41" t="n">
        <f aca="false">IF(j_sc=1,1,IF(fill_t&lt;=6,1,1-0.0154*(MIN(fill_t,19)-6)))</f>
        <v>0.9384</v>
      </c>
    </row>
    <row r="40" customFormat="false" ht="15" hidden="false" customHeight="false" outlineLevel="0" collapsed="false">
      <c r="A40" s="38" t="s">
        <v>235</v>
      </c>
      <c r="B40" s="38" t="s">
        <v>236</v>
      </c>
      <c r="C40" s="38" t="s">
        <v>210</v>
      </c>
      <c r="D40" s="39" t="n">
        <f aca="false">IF(j_sc=1,1*j_mu*1.13*fa_Tb,0.75*fa_Fnv*fa_Ab*f_fill)</f>
        <v>7616.74999627207</v>
      </c>
    </row>
    <row r="41" customFormat="false" ht="15" hidden="false" customHeight="false" outlineLevel="0" collapsed="false">
      <c r="A41" s="38" t="s">
        <v>237</v>
      </c>
      <c r="B41" s="38" t="s">
        <v>238</v>
      </c>
      <c r="C41" s="38" t="s">
        <v>210</v>
      </c>
      <c r="D41" s="39" t="n">
        <f aca="false">0.75*fa_Fnv*fa_Ab*f_fill</f>
        <v>7616.74999627207</v>
      </c>
    </row>
    <row r="42" customFormat="false" ht="15" hidden="false" customHeight="false" outlineLevel="0" collapsed="false">
      <c r="A42" s="38" t="s">
        <v>235</v>
      </c>
      <c r="B42" s="38" t="s">
        <v>239</v>
      </c>
      <c r="C42" s="38" t="s">
        <v>210</v>
      </c>
      <c r="D42" s="39" t="n">
        <f aca="false">0.75*MIN(1.2*MIN(fa_Lec/10-fa_dh/2,fa_s/10-fa_dh),2.4*fa_db)*u_tf*cu_Fu</f>
        <v>18311.8471875</v>
      </c>
    </row>
    <row r="43" customFormat="false" ht="15" hidden="false" customHeight="false" outlineLevel="0" collapsed="false">
      <c r="A43" s="38" t="s">
        <v>235</v>
      </c>
      <c r="B43" s="38" t="s">
        <v>240</v>
      </c>
      <c r="C43" s="38" t="s">
        <v>210</v>
      </c>
      <c r="D43" s="39" t="n">
        <f aca="false">0.75*MIN(1.2*MIN(fa_Lep/10-fa_dh/2,fa_s/10-fa_dh),2.4*fa_db)*pf_t/10*pf_Fu</f>
        <v>14649.47775</v>
      </c>
    </row>
    <row r="44" customFormat="false" ht="15" hidden="false" customHeight="false" outlineLevel="0" collapsed="false">
      <c r="A44" s="38" t="s">
        <v>241</v>
      </c>
      <c r="B44" s="38" t="s">
        <v>242</v>
      </c>
      <c r="C44" s="38" t="s">
        <v>136</v>
      </c>
      <c r="D44" s="42" t="n">
        <f aca="false">pf_b/10*pf_t/10</f>
        <v>21.6</v>
      </c>
    </row>
    <row r="45" customFormat="false" ht="15" hidden="false" customHeight="false" outlineLevel="0" collapsed="false">
      <c r="A45" s="38" t="s">
        <v>208</v>
      </c>
      <c r="B45" s="38" t="s">
        <v>243</v>
      </c>
      <c r="C45" s="38" t="s">
        <v>210</v>
      </c>
      <c r="D45" s="39" t="n">
        <f aca="false">0.9*pf_Fy*p_Ag</f>
        <v>68331.6</v>
      </c>
    </row>
    <row r="46" customFormat="false" ht="15" hidden="false" customHeight="false" outlineLevel="0" collapsed="false">
      <c r="A46" s="38" t="s">
        <v>208</v>
      </c>
      <c r="B46" s="38" t="s">
        <v>244</v>
      </c>
      <c r="C46" s="38" t="s">
        <v>210</v>
      </c>
      <c r="D46" s="39" t="n">
        <f aca="false">0.75*pf_Fu*MIN((pf_b/10-2*fa_dn)*pf_t/10,0.85*p_Ag)</f>
        <v>55751.715</v>
      </c>
    </row>
    <row r="47" customFormat="false" ht="15" hidden="false" customHeight="false" outlineLevel="0" collapsed="false">
      <c r="A47" s="38" t="s">
        <v>208</v>
      </c>
      <c r="B47" s="38" t="s">
        <v>245</v>
      </c>
      <c r="C47" s="38" t="s">
        <v>210</v>
      </c>
      <c r="D47" s="39" t="n">
        <f aca="false">0.75*(MIN(0.6*pf_Fu*(2*(fa_Lep/10+(fa_n-1)*fa_s/10)-2*(fa_n-0.5)*fa_dn),0.6*pf_Fy*2*(fa_Lep/10+(fa_n-1)*fa_s/10))*pf_t/10+pf_Fu*MIN(2*((pf_b-fa_g)/20-fa_dn/2),fa_g/10-fa_dn)*pf_t/10)</f>
        <v>86002.83</v>
      </c>
    </row>
    <row r="48" customFormat="false" ht="15" hidden="false" customHeight="false" outlineLevel="0" collapsed="false">
      <c r="A48" s="38" t="s">
        <v>246</v>
      </c>
      <c r="B48" s="38" t="s">
        <v>247</v>
      </c>
      <c r="C48" s="38" t="s">
        <v>78</v>
      </c>
      <c r="D48" s="40" t="n">
        <f aca="false">0.65*(gap/10+2*fa_Lec/10)/(pf_t/10/SQRT(12))</f>
        <v>15.5740235113902</v>
      </c>
    </row>
    <row r="49" customFormat="false" ht="15" hidden="false" customHeight="false" outlineLevel="0" collapsed="false">
      <c r="A49" s="38" t="s">
        <v>248</v>
      </c>
      <c r="B49" s="38" t="s">
        <v>249</v>
      </c>
      <c r="C49" s="38" t="s">
        <v>71</v>
      </c>
      <c r="D49" s="39" t="n">
        <f aca="false">IF(p_KLr&lt;=25,pf_Fy,IF(pf_Fy/(PI()^2*k_E/p_KLr^2)&lt;=2.25,0.658^(pf_Fy/(PI()^2*k_E/p_KLr^2))*pf_Fy,0.877*PI()^2*k_E/p_KLr^2))</f>
        <v>3515</v>
      </c>
    </row>
    <row r="50" customFormat="false" ht="15" hidden="false" customHeight="false" outlineLevel="0" collapsed="false">
      <c r="A50" s="38" t="s">
        <v>250</v>
      </c>
      <c r="B50" s="38" t="s">
        <v>251</v>
      </c>
      <c r="C50" s="38" t="s">
        <v>210</v>
      </c>
      <c r="D50" s="39" t="n">
        <f aca="false">0.9*p_Fcr*p_Ag</f>
        <v>68331.6</v>
      </c>
    </row>
    <row r="51" customFormat="false" ht="15" hidden="false" customHeight="false" outlineLevel="0" collapsed="false">
      <c r="A51" s="38" t="s">
        <v>208</v>
      </c>
      <c r="B51" s="38" t="s">
        <v>252</v>
      </c>
      <c r="C51" s="38" t="s">
        <v>210</v>
      </c>
      <c r="D51" s="39" t="n">
        <f aca="false">0.75*cu_Fu*(u_bf-2*fa_dn)*u_tf</f>
        <v>79972.14375</v>
      </c>
    </row>
    <row r="52" customFormat="false" ht="15" hidden="false" customHeight="false" outlineLevel="0" collapsed="false">
      <c r="A52" s="38" t="s">
        <v>208</v>
      </c>
      <c r="B52" s="38" t="s">
        <v>253</v>
      </c>
      <c r="C52" s="38" t="s">
        <v>210</v>
      </c>
      <c r="D52" s="39" t="n">
        <f aca="false">0.75*(MIN(0.6*cu_Fu*(2*(fa_Lec/10+(fa_n-1)*fa_s/10)-2*(fa_n-0.5)*fa_dn),0.6*cu_Fy*2*(fa_Lec/10+(fa_n-1)*fa_s/10))*u_tf+cu_Fu*2*((u_bf-fa_g/10)/2-fa_dn/2)*u_tf)</f>
        <v>117786.0375</v>
      </c>
    </row>
    <row r="53" customFormat="false" ht="15" hidden="false" customHeight="false" outlineLevel="0" collapsed="false">
      <c r="A53" s="37" t="s">
        <v>254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</row>
    <row r="54" customFormat="false" ht="15" hidden="false" customHeight="false" outlineLevel="0" collapsed="false">
      <c r="A54" s="38" t="s">
        <v>216</v>
      </c>
      <c r="B54" s="38" t="s">
        <v>255</v>
      </c>
      <c r="C54" s="38" t="s">
        <v>218</v>
      </c>
      <c r="D54" s="41" t="n">
        <f aca="false">INDEX(CATALOGOS!$P$5:$P$10,MATCH(wa_diam,CATALOGOS!$O$5:$O$10,0))</f>
        <v>0.75</v>
      </c>
    </row>
    <row r="55" customFormat="false" ht="15" hidden="false" customHeight="false" outlineLevel="0" collapsed="false">
      <c r="A55" s="38" t="s">
        <v>216</v>
      </c>
      <c r="B55" s="38" t="s">
        <v>255</v>
      </c>
      <c r="C55" s="38" t="s">
        <v>105</v>
      </c>
      <c r="D55" s="41" t="n">
        <f aca="false">wa_dbi*2.54</f>
        <v>1.905</v>
      </c>
    </row>
    <row r="56" customFormat="false" ht="15" hidden="false" customHeight="false" outlineLevel="0" collapsed="false">
      <c r="A56" s="38" t="s">
        <v>219</v>
      </c>
      <c r="B56" s="38" t="s">
        <v>220</v>
      </c>
      <c r="C56" s="38" t="s">
        <v>136</v>
      </c>
      <c r="D56" s="41" t="n">
        <f aca="false">PI()*wa_db^2/4</f>
        <v>2.85022956992342</v>
      </c>
    </row>
    <row r="57" customFormat="false" ht="15" hidden="false" customHeight="false" outlineLevel="0" collapsed="false">
      <c r="A57" s="38" t="s">
        <v>221</v>
      </c>
      <c r="B57" s="38" t="s">
        <v>222</v>
      </c>
      <c r="C57" s="38" t="s">
        <v>105</v>
      </c>
      <c r="D57" s="41" t="n">
        <f aca="false">IF(wa_dbi&lt;1,wa_dbi+1/16,wa_dbi+1/8)*2.54</f>
        <v>2.06375</v>
      </c>
    </row>
    <row r="58" customFormat="false" ht="15" hidden="false" customHeight="false" outlineLevel="0" collapsed="false">
      <c r="A58" s="38" t="s">
        <v>223</v>
      </c>
      <c r="B58" s="38" t="s">
        <v>224</v>
      </c>
      <c r="C58" s="38" t="s">
        <v>105</v>
      </c>
      <c r="D58" s="41" t="n">
        <f aca="false">wa_dh+0.15875</f>
        <v>2.2225</v>
      </c>
    </row>
    <row r="59" customFormat="false" ht="15" hidden="false" customHeight="false" outlineLevel="0" collapsed="false">
      <c r="A59" s="38" t="s">
        <v>225</v>
      </c>
      <c r="B59" s="38" t="s">
        <v>226</v>
      </c>
      <c r="C59" s="38" t="s">
        <v>105</v>
      </c>
      <c r="D59" s="41" t="n">
        <f aca="false">INDEX(CATALOGOS!$Q$5:$Q$10,MATCH(wa_diam,CATALOGOS!$O$5:$O$10,0))*2.54</f>
        <v>2.54</v>
      </c>
    </row>
    <row r="60" customFormat="false" ht="15" hidden="false" customHeight="false" outlineLevel="0" collapsed="false">
      <c r="A60" s="38" t="s">
        <v>227</v>
      </c>
      <c r="B60" s="38" t="s">
        <v>228</v>
      </c>
      <c r="C60" s="38" t="s">
        <v>71</v>
      </c>
      <c r="D60" s="39" t="n">
        <f aca="false">INDEX(CATALOGOS!$L$5:$L$8,MATCH(wa_grado,CATALOGOS!$K$5:$K$8,0))</f>
        <v>3797</v>
      </c>
    </row>
    <row r="61" customFormat="false" ht="15" hidden="false" customHeight="false" outlineLevel="0" collapsed="false">
      <c r="A61" s="38" t="s">
        <v>229</v>
      </c>
      <c r="B61" s="38" t="s">
        <v>230</v>
      </c>
      <c r="C61" s="38" t="s">
        <v>210</v>
      </c>
      <c r="D61" s="39" t="n">
        <f aca="false">IF(INDEX(CATALOGOS!$M$5:$M$8,MATCH(wa_grado,CATALOGOS!$K$5:$K$8,0))="A",INDEX(CATALOGOS!$R$5:$R$10,MATCH(wa_diam,CATALOGOS!$O$5:$O$10,0)),INDEX(CATALOGOS!$S$5:$S$10,MATCH(wa_diam,CATALOGOS!$O$5:$O$10,0)))</f>
        <v>12701</v>
      </c>
    </row>
    <row r="62" customFormat="false" ht="15" hidden="false" customHeight="false" outlineLevel="0" collapsed="false">
      <c r="A62" s="38" t="s">
        <v>231</v>
      </c>
      <c r="B62" s="38" t="s">
        <v>256</v>
      </c>
      <c r="C62" s="38" t="s">
        <v>78</v>
      </c>
      <c r="D62" s="39" t="n">
        <f aca="false">wa_nr*wa_nc</f>
        <v>4</v>
      </c>
    </row>
    <row r="63" customFormat="false" ht="15" hidden="false" customHeight="false" outlineLevel="0" collapsed="false">
      <c r="A63" s="38" t="s">
        <v>257</v>
      </c>
      <c r="B63" s="38" t="s">
        <v>258</v>
      </c>
      <c r="C63" s="38" t="s">
        <v>105</v>
      </c>
      <c r="D63" s="42" t="n">
        <f aca="false">gap/20+wa_Le/10+(wa_nr-1)*wa_sv/20</f>
        <v>7.9</v>
      </c>
    </row>
    <row r="64" customFormat="false" ht="15" hidden="false" customHeight="false" outlineLevel="0" collapsed="false">
      <c r="A64" s="38" t="s">
        <v>259</v>
      </c>
      <c r="B64" s="38" t="s">
        <v>260</v>
      </c>
      <c r="C64" s="38" t="s">
        <v>136</v>
      </c>
      <c r="D64" s="40" t="n">
        <f aca="false">wa_nr*(wa_sh/10)^2*wa_nc*(wa_nc^2-1)/12+wa_nc*(wa_sv/10)^2*wa_nr*(wa_nr^2-1)/12</f>
        <v>156.25</v>
      </c>
    </row>
    <row r="65" customFormat="false" ht="15" hidden="false" customHeight="false" outlineLevel="0" collapsed="false">
      <c r="A65" s="38" t="s">
        <v>261</v>
      </c>
      <c r="B65" s="38" t="s">
        <v>262</v>
      </c>
      <c r="C65" s="38" t="s">
        <v>105</v>
      </c>
      <c r="D65" s="41" t="n">
        <f aca="false">wa_sh/10*(wa_nc-1)/2</f>
        <v>5</v>
      </c>
    </row>
    <row r="66" customFormat="false" ht="15" hidden="false" customHeight="false" outlineLevel="0" collapsed="false">
      <c r="A66" s="38" t="s">
        <v>263</v>
      </c>
      <c r="B66" s="38" t="s">
        <v>264</v>
      </c>
      <c r="C66" s="38" t="s">
        <v>105</v>
      </c>
      <c r="D66" s="41" t="n">
        <f aca="false">wa_sv/10*(wa_nr-1)/2</f>
        <v>3.75</v>
      </c>
    </row>
    <row r="67" customFormat="false" ht="15" hidden="false" customHeight="false" outlineLevel="0" collapsed="false">
      <c r="A67" s="38" t="s">
        <v>235</v>
      </c>
      <c r="B67" s="38" t="s">
        <v>265</v>
      </c>
      <c r="C67" s="38" t="s">
        <v>210</v>
      </c>
      <c r="D67" s="39" t="n">
        <f aca="false">IF(j_sc=1,1*j_mu*1.13*wa_Tb*2,0.75*wa_Fnv*wa_Ab*2)</f>
        <v>16233.4825154989</v>
      </c>
    </row>
    <row r="68" customFormat="false" ht="15" hidden="false" customHeight="false" outlineLevel="0" collapsed="false">
      <c r="A68" s="38" t="s">
        <v>237</v>
      </c>
      <c r="B68" s="38" t="s">
        <v>266</v>
      </c>
      <c r="C68" s="38" t="s">
        <v>210</v>
      </c>
      <c r="D68" s="39" t="n">
        <f aca="false">0.75*wa_Fnv*wa_Ab*2</f>
        <v>16233.4825154989</v>
      </c>
    </row>
    <row r="69" customFormat="false" ht="15" hidden="false" customHeight="false" outlineLevel="0" collapsed="false">
      <c r="A69" s="38" t="s">
        <v>235</v>
      </c>
      <c r="B69" s="38" t="s">
        <v>267</v>
      </c>
      <c r="C69" s="38" t="s">
        <v>210</v>
      </c>
      <c r="D69" s="39" t="n">
        <f aca="false">0.75*MIN(1.2*MIN(wa_Le/10-wa_dh/2,wa_sv/10-wa_dh,IF(wa_nc&gt;1,wa_sh/10-wa_dh,1000)),2.4*wa_db)*MIN(u_tw*cu_Fu,2*pw_t/10*pw_Fu)</f>
        <v>9766.3185</v>
      </c>
    </row>
    <row r="70" customFormat="false" ht="15" hidden="false" customHeight="false" outlineLevel="0" collapsed="false">
      <c r="A70" s="38" t="s">
        <v>268</v>
      </c>
      <c r="B70" s="38" t="s">
        <v>269</v>
      </c>
      <c r="C70" s="38" t="s">
        <v>210</v>
      </c>
      <c r="D70" s="39" t="n">
        <f aca="false">0.6*pw_Fy*2*pw_b/10*pw_t/10</f>
        <v>48576</v>
      </c>
    </row>
    <row r="71" customFormat="false" ht="15" hidden="false" customHeight="false" outlineLevel="0" collapsed="false">
      <c r="A71" s="38" t="s">
        <v>268</v>
      </c>
      <c r="B71" s="38" t="s">
        <v>270</v>
      </c>
      <c r="C71" s="38" t="s">
        <v>210</v>
      </c>
      <c r="D71" s="39" t="n">
        <f aca="false">0.75*0.6*pw_Fu*2*(pw_b/10-wa_nc*wa_dn)*pw_t/10</f>
        <v>45694.368</v>
      </c>
    </row>
    <row r="72" customFormat="false" ht="15" hidden="false" customHeight="false" outlineLevel="0" collapsed="false">
      <c r="A72" s="38" t="s">
        <v>208</v>
      </c>
      <c r="B72" s="38" t="s">
        <v>271</v>
      </c>
      <c r="C72" s="38" t="s">
        <v>210</v>
      </c>
      <c r="D72" s="39" t="n">
        <f aca="false">0.9*pw_Fy*2*pw_b/10*pw_t/10</f>
        <v>72864</v>
      </c>
    </row>
    <row r="73" customFormat="false" ht="15" hidden="false" customHeight="false" outlineLevel="0" collapsed="false">
      <c r="A73" s="37" t="s">
        <v>272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 customFormat="false" ht="15" hidden="false" customHeight="false" outlineLevel="0" collapsed="false">
      <c r="A74" s="38" t="s">
        <v>273</v>
      </c>
      <c r="B74" s="38" t="s">
        <v>164</v>
      </c>
      <c r="C74" s="38" t="s">
        <v>71</v>
      </c>
      <c r="D74" s="39" t="n">
        <f aca="false">INDEX(CATALOGOS!$V$5:$V$6,MATCH(sd_elec,CATALOGOS!$U$5:$U$6,0))</f>
        <v>4920</v>
      </c>
    </row>
    <row r="75" customFormat="false" ht="15" hidden="false" customHeight="false" outlineLevel="0" collapsed="false">
      <c r="A75" s="38" t="s">
        <v>208</v>
      </c>
      <c r="B75" s="38" t="s">
        <v>274</v>
      </c>
      <c r="C75" s="38" t="s">
        <v>210</v>
      </c>
      <c r="D75" s="39" t="n">
        <f aca="false">IF(t_cjp=1,0.9*k_Fy*u_bf*u_tf,MIN(0.8*0.6*s_FEXX,0.75*k_Fu)*E_f/10*u_bf)</f>
        <v>47232</v>
      </c>
    </row>
    <row r="76" customFormat="false" ht="15" hidden="false" customHeight="false" outlineLevel="0" collapsed="false">
      <c r="A76" s="38" t="s">
        <v>208</v>
      </c>
      <c r="B76" s="38" t="s">
        <v>275</v>
      </c>
      <c r="C76" s="38" t="s">
        <v>210</v>
      </c>
      <c r="D76" s="39" t="n">
        <f aca="false">IF(t_cjp=1,0.9*k_Fy*u_bf*u_tf,MIN(0.8*0.6*s_FEXX,0.9*k_Fy)*E_f/10*u_bf)</f>
        <v>47232</v>
      </c>
    </row>
    <row r="77" customFormat="false" ht="15" hidden="false" customHeight="false" outlineLevel="0" collapsed="false">
      <c r="A77" s="38" t="s">
        <v>208</v>
      </c>
      <c r="B77" s="38" t="s">
        <v>276</v>
      </c>
      <c r="C77" s="38" t="s">
        <v>210</v>
      </c>
      <c r="D77" s="39" t="n">
        <f aca="false">IF(t_cjp=1,0.6*k_Fy*u_tw*(u_d-2*u_tf),0.75*0.6*s_FEXX*E_w/10*(u_d-2*u_tf))</f>
        <v>49150.8</v>
      </c>
    </row>
    <row r="78" customFormat="false" ht="15" hidden="false" customHeight="false" outlineLevel="0" collapsed="false">
      <c r="A78" s="38" t="s">
        <v>277</v>
      </c>
      <c r="B78" s="38" t="s">
        <v>278</v>
      </c>
      <c r="C78" s="38" t="s">
        <v>37</v>
      </c>
      <c r="D78" s="39" t="n">
        <f aca="false">IF(MIN(cu_tf_mm,cl_tf_mm)&lt;=6,3,IF(MIN(cu_tf_mm,cl_tf_mm)&lt;=13,5,IF(MIN(cu_tf_mm,cl_tf_mm)&lt;=19,6,IF(MIN(cu_tf_mm,cl_tf_mm)&lt;=38,8,10))))</f>
        <v>6</v>
      </c>
    </row>
    <row r="80" customFormat="false" ht="15" hidden="false" customHeight="false" outlineLevel="0" collapsed="false">
      <c r="A80" s="37" t="s">
        <v>279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customFormat="false" ht="15" hidden="false" customHeight="false" outlineLevel="0" collapsed="false">
      <c r="A81" s="43" t="s">
        <v>280</v>
      </c>
      <c r="B81" s="43" t="s">
        <v>281</v>
      </c>
      <c r="C81" s="43" t="s">
        <v>20</v>
      </c>
      <c r="D81" s="43" t="n">
        <v>1</v>
      </c>
      <c r="E81" s="43" t="n">
        <v>2</v>
      </c>
      <c r="F81" s="43" t="n">
        <v>3</v>
      </c>
      <c r="G81" s="43" t="n">
        <v>4</v>
      </c>
      <c r="H81" s="43" t="n">
        <v>5</v>
      </c>
      <c r="I81" s="43" t="n">
        <v>6</v>
      </c>
      <c r="J81" s="43" t="n">
        <v>7</v>
      </c>
      <c r="K81" s="43" t="n">
        <v>8</v>
      </c>
      <c r="L81" s="43" t="n">
        <v>9</v>
      </c>
      <c r="M81" s="43" t="n">
        <v>10</v>
      </c>
    </row>
    <row r="82" customFormat="false" ht="15" hidden="false" customHeight="false" outlineLevel="0" collapsed="false">
      <c r="A82" s="38" t="s">
        <v>23</v>
      </c>
      <c r="B82" s="38" t="s">
        <v>282</v>
      </c>
      <c r="C82" s="38"/>
      <c r="D82" s="44" t="str">
        <f aca="false">IF(INDEX(cb_nom,1)="","",INDEX(cb_nom,1))</f>
        <v>1.2D+1.6L</v>
      </c>
      <c r="E82" s="44" t="str">
        <f aca="false">IF(INDEX(cb_nom,2)="","",INDEX(cb_nom,2))</f>
        <v>1.2D+Ω0E+L</v>
      </c>
      <c r="F82" s="44" t="str">
        <f aca="false">IF(INDEX(cb_nom,3)="","",INDEX(cb_nom,3))</f>
        <v>0.9D−Ω0E</v>
      </c>
      <c r="G82" s="44" t="str">
        <f aca="false">IF(INDEX(cb_nom,4)="","",INDEX(cb_nom,4))</f>
        <v>C4</v>
      </c>
      <c r="H82" s="44" t="str">
        <f aca="false">IF(INDEX(cb_nom,5)="","",INDEX(cb_nom,5))</f>
        <v>C5</v>
      </c>
      <c r="I82" s="44" t="str">
        <f aca="false">IF(INDEX(cb_nom,6)="","",INDEX(cb_nom,6))</f>
        <v>C6</v>
      </c>
      <c r="J82" s="44" t="str">
        <f aca="false">IF(INDEX(cb_nom,7)="","",INDEX(cb_nom,7))</f>
        <v>C7</v>
      </c>
      <c r="K82" s="44" t="str">
        <f aca="false">IF(INDEX(cb_nom,8)="","",INDEX(cb_nom,8))</f>
        <v>C8</v>
      </c>
      <c r="L82" s="44" t="str">
        <f aca="false">IF(INDEX(cb_nom,9)="","",INDEX(cb_nom,9))</f>
        <v>C9</v>
      </c>
      <c r="M82" s="44" t="str">
        <f aca="false">IF(INDEX(cb_nom,10)="","",INDEX(cb_nom,10))</f>
        <v>C10</v>
      </c>
    </row>
    <row r="83" customFormat="false" ht="15" hidden="false" customHeight="false" outlineLevel="0" collapsed="false">
      <c r="A83" s="38" t="s">
        <v>283</v>
      </c>
      <c r="B83" s="38" t="s">
        <v>284</v>
      </c>
      <c r="C83" s="38" t="s">
        <v>210</v>
      </c>
      <c r="D83" s="45" t="n">
        <f aca="false">N(INDEX(cb_P,1))*1000</f>
        <v>85000</v>
      </c>
      <c r="E83" s="45" t="n">
        <f aca="false">N(INDEX(cb_P,2))*1000</f>
        <v>55000</v>
      </c>
      <c r="F83" s="45" t="n">
        <f aca="false">N(INDEX(cb_P,3))*1000</f>
        <v>-12000</v>
      </c>
      <c r="G83" s="45" t="n">
        <f aca="false">N(INDEX(cb_P,4))*1000</f>
        <v>0</v>
      </c>
      <c r="H83" s="45" t="n">
        <f aca="false">N(INDEX(cb_P,5))*1000</f>
        <v>0</v>
      </c>
      <c r="I83" s="45" t="n">
        <f aca="false">N(INDEX(cb_P,6))*1000</f>
        <v>0</v>
      </c>
      <c r="J83" s="45" t="n">
        <f aca="false">N(INDEX(cb_P,7))*1000</f>
        <v>0</v>
      </c>
      <c r="K83" s="45" t="n">
        <f aca="false">N(INDEX(cb_P,8))*1000</f>
        <v>0</v>
      </c>
      <c r="L83" s="45" t="n">
        <f aca="false">N(INDEX(cb_P,9))*1000</f>
        <v>0</v>
      </c>
      <c r="M83" s="45" t="n">
        <f aca="false">N(INDEX(cb_P,10))*1000</f>
        <v>0</v>
      </c>
    </row>
    <row r="84" customFormat="false" ht="15" hidden="false" customHeight="false" outlineLevel="0" collapsed="false">
      <c r="A84" s="38" t="s">
        <v>285</v>
      </c>
      <c r="B84" s="38" t="s">
        <v>286</v>
      </c>
      <c r="C84" s="38" t="s">
        <v>287</v>
      </c>
      <c r="D84" s="45" t="n">
        <f aca="false">ABS(N(INDEX(cb_M,1)))*100000</f>
        <v>200000</v>
      </c>
      <c r="E84" s="45" t="n">
        <f aca="false">ABS(N(INDEX(cb_M,2)))*100000</f>
        <v>900000</v>
      </c>
      <c r="F84" s="45" t="n">
        <f aca="false">ABS(N(INDEX(cb_M,3)))*100000</f>
        <v>850000</v>
      </c>
      <c r="G84" s="45" t="n">
        <f aca="false">ABS(N(INDEX(cb_M,4)))*100000</f>
        <v>0</v>
      </c>
      <c r="H84" s="45" t="n">
        <f aca="false">ABS(N(INDEX(cb_M,5)))*100000</f>
        <v>0</v>
      </c>
      <c r="I84" s="45" t="n">
        <f aca="false">ABS(N(INDEX(cb_M,6)))*100000</f>
        <v>0</v>
      </c>
      <c r="J84" s="45" t="n">
        <f aca="false">ABS(N(INDEX(cb_M,7)))*100000</f>
        <v>0</v>
      </c>
      <c r="K84" s="45" t="n">
        <f aca="false">ABS(N(INDEX(cb_M,8)))*100000</f>
        <v>0</v>
      </c>
      <c r="L84" s="45" t="n">
        <f aca="false">ABS(N(INDEX(cb_M,9)))*100000</f>
        <v>0</v>
      </c>
      <c r="M84" s="45" t="n">
        <f aca="false">ABS(N(INDEX(cb_M,10)))*100000</f>
        <v>0</v>
      </c>
    </row>
    <row r="85" customFormat="false" ht="15" hidden="false" customHeight="false" outlineLevel="0" collapsed="false">
      <c r="A85" s="38" t="s">
        <v>288</v>
      </c>
      <c r="B85" s="38" t="s">
        <v>289</v>
      </c>
      <c r="C85" s="38" t="s">
        <v>210</v>
      </c>
      <c r="D85" s="45" t="n">
        <f aca="false">ABS(N(INDEX(cb_V,1)))*1000</f>
        <v>1000</v>
      </c>
      <c r="E85" s="45" t="n">
        <f aca="false">ABS(N(INDEX(cb_V,2)))*1000</f>
        <v>4000</v>
      </c>
      <c r="F85" s="45" t="n">
        <f aca="false">ABS(N(INDEX(cb_V,3)))*1000</f>
        <v>4000</v>
      </c>
      <c r="G85" s="45" t="n">
        <f aca="false">ABS(N(INDEX(cb_V,4)))*1000</f>
        <v>0</v>
      </c>
      <c r="H85" s="45" t="n">
        <f aca="false">ABS(N(INDEX(cb_V,5)))*1000</f>
        <v>0</v>
      </c>
      <c r="I85" s="45" t="n">
        <f aca="false">ABS(N(INDEX(cb_V,6)))*1000</f>
        <v>0</v>
      </c>
      <c r="J85" s="45" t="n">
        <f aca="false">ABS(N(INDEX(cb_V,7)))*1000</f>
        <v>0</v>
      </c>
      <c r="K85" s="45" t="n">
        <f aca="false">ABS(N(INDEX(cb_V,8)))*1000</f>
        <v>0</v>
      </c>
      <c r="L85" s="45" t="n">
        <f aca="false">ABS(N(INDEX(cb_V,9)))*1000</f>
        <v>0</v>
      </c>
      <c r="M85" s="45" t="n">
        <f aca="false">ABS(N(INDEX(cb_V,10)))*1000</f>
        <v>0</v>
      </c>
    </row>
    <row r="86" customFormat="false" ht="15" hidden="false" customHeight="false" outlineLevel="0" collapsed="false">
      <c r="A86" s="38" t="s">
        <v>290</v>
      </c>
      <c r="B86" s="38" t="s">
        <v>291</v>
      </c>
      <c r="C86" s="38" t="s">
        <v>78</v>
      </c>
      <c r="D86" s="45" t="n">
        <f aca="false">IF(ABS(D83)+D84+D85&gt;0,1,0)</f>
        <v>1</v>
      </c>
      <c r="E86" s="45" t="n">
        <f aca="false">IF(ABS(E83)+E84+E85&gt;0,1,0)</f>
        <v>1</v>
      </c>
      <c r="F86" s="45" t="n">
        <f aca="false">IF(ABS(F83)+F84+F85&gt;0,1,0)</f>
        <v>1</v>
      </c>
      <c r="G86" s="45" t="n">
        <f aca="false">IF(ABS(G83)+G84+G85&gt;0,1,0)</f>
        <v>0</v>
      </c>
      <c r="H86" s="45" t="n">
        <f aca="false">IF(ABS(H83)+H84+H85&gt;0,1,0)</f>
        <v>0</v>
      </c>
      <c r="I86" s="45" t="n">
        <f aca="false">IF(ABS(I83)+I84+I85&gt;0,1,0)</f>
        <v>0</v>
      </c>
      <c r="J86" s="45" t="n">
        <f aca="false">IF(ABS(J83)+J84+J85&gt;0,1,0)</f>
        <v>0</v>
      </c>
      <c r="K86" s="45" t="n">
        <f aca="false">IF(ABS(K83)+K84+K85&gt;0,1,0)</f>
        <v>0</v>
      </c>
      <c r="L86" s="45" t="n">
        <f aca="false">IF(ABS(L83)+L84+L85&gt;0,1,0)</f>
        <v>0</v>
      </c>
      <c r="M86" s="45" t="n">
        <f aca="false">IF(ABS(M83)+M84+M85&gt;0,1,0)</f>
        <v>0</v>
      </c>
    </row>
    <row r="87" customFormat="false" ht="15" hidden="false" customHeight="false" outlineLevel="0" collapsed="false">
      <c r="A87" s="38" t="s">
        <v>292</v>
      </c>
      <c r="B87" s="38" t="s">
        <v>293</v>
      </c>
      <c r="C87" s="38" t="s">
        <v>210</v>
      </c>
      <c r="D87" s="45" t="n">
        <f aca="false">D84/(u_d-u_tf)</f>
        <v>5194.8051948052</v>
      </c>
      <c r="E87" s="45" t="n">
        <f aca="false">E84/(u_d-u_tf)</f>
        <v>23376.6233766234</v>
      </c>
      <c r="F87" s="45" t="n">
        <f aca="false">F84/(u_d-u_tf)</f>
        <v>22077.9220779221</v>
      </c>
      <c r="G87" s="45" t="n">
        <f aca="false">G84/(u_d-u_tf)</f>
        <v>0</v>
      </c>
      <c r="H87" s="45" t="n">
        <f aca="false">H84/(u_d-u_tf)</f>
        <v>0</v>
      </c>
      <c r="I87" s="45" t="n">
        <f aca="false">I84/(u_d-u_tf)</f>
        <v>0</v>
      </c>
      <c r="J87" s="45" t="n">
        <f aca="false">J84/(u_d-u_tf)</f>
        <v>0</v>
      </c>
      <c r="K87" s="45" t="n">
        <f aca="false">K84/(u_d-u_tf)</f>
        <v>0</v>
      </c>
      <c r="L87" s="45" t="n">
        <f aca="false">L84/(u_d-u_tf)</f>
        <v>0</v>
      </c>
      <c r="M87" s="45" t="n">
        <f aca="false">M84/(u_d-u_tf)</f>
        <v>0</v>
      </c>
    </row>
    <row r="88" customFormat="false" ht="15" hidden="false" customHeight="false" outlineLevel="0" collapsed="false">
      <c r="A88" s="38" t="s">
        <v>294</v>
      </c>
      <c r="B88" s="38" t="s">
        <v>295</v>
      </c>
      <c r="C88" s="38" t="s">
        <v>210</v>
      </c>
      <c r="D88" s="45" t="n">
        <f aca="false">D83*u_Af/u_A</f>
        <v>28459.8214285714</v>
      </c>
      <c r="E88" s="45" t="n">
        <f aca="false">E83*u_Af/u_A</f>
        <v>18415.1785714286</v>
      </c>
      <c r="F88" s="45" t="n">
        <f aca="false">F83*u_Af/u_A</f>
        <v>-4017.85714285714</v>
      </c>
      <c r="G88" s="45" t="n">
        <f aca="false">G83*u_Af/u_A</f>
        <v>0</v>
      </c>
      <c r="H88" s="45" t="n">
        <f aca="false">H83*u_Af/u_A</f>
        <v>0</v>
      </c>
      <c r="I88" s="45" t="n">
        <f aca="false">I83*u_Af/u_A</f>
        <v>0</v>
      </c>
      <c r="J88" s="45" t="n">
        <f aca="false">J83*u_Af/u_A</f>
        <v>0</v>
      </c>
      <c r="K88" s="45" t="n">
        <f aca="false">K83*u_Af/u_A</f>
        <v>0</v>
      </c>
      <c r="L88" s="45" t="n">
        <f aca="false">L83*u_Af/u_A</f>
        <v>0</v>
      </c>
      <c r="M88" s="45" t="n">
        <f aca="false">M83*u_Af/u_A</f>
        <v>0</v>
      </c>
    </row>
    <row r="89" customFormat="false" ht="15" hidden="false" customHeight="false" outlineLevel="0" collapsed="false">
      <c r="A89" s="38" t="s">
        <v>296</v>
      </c>
      <c r="B89" s="38" t="s">
        <v>297</v>
      </c>
      <c r="C89" s="38" t="s">
        <v>210</v>
      </c>
      <c r="D89" s="45" t="n">
        <f aca="false">MAX(0,D87-D88)</f>
        <v>0</v>
      </c>
      <c r="E89" s="45" t="n">
        <f aca="false">MAX(0,E87-E88)</f>
        <v>4961.44480519481</v>
      </c>
      <c r="F89" s="45" t="n">
        <f aca="false">MAX(0,F87-F88)</f>
        <v>26095.7792207792</v>
      </c>
      <c r="G89" s="45" t="n">
        <f aca="false">MAX(0,G87-G88)</f>
        <v>0</v>
      </c>
      <c r="H89" s="45" t="n">
        <f aca="false">MAX(0,H87-H88)</f>
        <v>0</v>
      </c>
      <c r="I89" s="45" t="n">
        <f aca="false">MAX(0,I87-I88)</f>
        <v>0</v>
      </c>
      <c r="J89" s="45" t="n">
        <f aca="false">MAX(0,J87-J88)</f>
        <v>0</v>
      </c>
      <c r="K89" s="45" t="n">
        <f aca="false">MAX(0,K87-K88)</f>
        <v>0</v>
      </c>
      <c r="L89" s="45" t="n">
        <f aca="false">MAX(0,L87-L88)</f>
        <v>0</v>
      </c>
      <c r="M89" s="45" t="n">
        <f aca="false">MAX(0,M87-M88)</f>
        <v>0</v>
      </c>
    </row>
    <row r="90" customFormat="false" ht="15" hidden="false" customHeight="false" outlineLevel="0" collapsed="false">
      <c r="A90" s="38" t="s">
        <v>298</v>
      </c>
      <c r="B90" s="38" t="s">
        <v>299</v>
      </c>
      <c r="C90" s="38" t="s">
        <v>210</v>
      </c>
      <c r="D90" s="45" t="n">
        <f aca="false">IF(k_fr=1,0,MAX(0,D87+D88))</f>
        <v>0</v>
      </c>
      <c r="E90" s="45" t="n">
        <f aca="false">IF(k_fr=1,0,MAX(0,E87+E88))</f>
        <v>0</v>
      </c>
      <c r="F90" s="45" t="n">
        <f aca="false">IF(k_fr=1,0,MAX(0,F87+F88))</f>
        <v>0</v>
      </c>
      <c r="G90" s="45" t="n">
        <f aca="false">IF(k_fr=1,0,MAX(0,G87+G88))</f>
        <v>0</v>
      </c>
      <c r="H90" s="45" t="n">
        <f aca="false">IF(k_fr=1,0,MAX(0,H87+H88))</f>
        <v>0</v>
      </c>
      <c r="I90" s="45" t="n">
        <f aca="false">IF(k_fr=1,0,MAX(0,I87+I88))</f>
        <v>0</v>
      </c>
      <c r="J90" s="45" t="n">
        <f aca="false">IF(k_fr=1,0,MAX(0,J87+J88))</f>
        <v>0</v>
      </c>
      <c r="K90" s="45" t="n">
        <f aca="false">IF(k_fr=1,0,MAX(0,K87+K88))</f>
        <v>0</v>
      </c>
      <c r="L90" s="45" t="n">
        <f aca="false">IF(k_fr=1,0,MAX(0,L87+L88))</f>
        <v>0</v>
      </c>
      <c r="M90" s="45" t="n">
        <f aca="false">IF(k_fr=1,0,MAX(0,M87+M88))</f>
        <v>0</v>
      </c>
    </row>
    <row r="91" customFormat="false" ht="15" hidden="false" customHeight="false" outlineLevel="0" collapsed="false">
      <c r="A91" s="38" t="s">
        <v>300</v>
      </c>
      <c r="B91" s="38" t="s">
        <v>301</v>
      </c>
      <c r="C91" s="38" t="s">
        <v>210</v>
      </c>
      <c r="D91" s="45" t="n">
        <f aca="false">MAX(D89,D90)</f>
        <v>0</v>
      </c>
      <c r="E91" s="45" t="n">
        <f aca="false">MAX(E89,E90)</f>
        <v>4961.44480519481</v>
      </c>
      <c r="F91" s="45" t="n">
        <f aca="false">MAX(F89,F90)</f>
        <v>26095.7792207792</v>
      </c>
      <c r="G91" s="45" t="n">
        <f aca="false">MAX(G89,G90)</f>
        <v>0</v>
      </c>
      <c r="H91" s="45" t="n">
        <f aca="false">MAX(H89,H90)</f>
        <v>0</v>
      </c>
      <c r="I91" s="45" t="n">
        <f aca="false">MAX(I89,I90)</f>
        <v>0</v>
      </c>
      <c r="J91" s="45" t="n">
        <f aca="false">MAX(J89,J90)</f>
        <v>0</v>
      </c>
      <c r="K91" s="45" t="n">
        <f aca="false">MAX(K89,K90)</f>
        <v>0</v>
      </c>
      <c r="L91" s="45" t="n">
        <f aca="false">MAX(L89,L90)</f>
        <v>0</v>
      </c>
      <c r="M91" s="45" t="n">
        <f aca="false">MAX(M89,M90)</f>
        <v>0</v>
      </c>
    </row>
    <row r="92" customFormat="false" ht="15" hidden="false" customHeight="false" outlineLevel="0" collapsed="false">
      <c r="A92" s="38" t="s">
        <v>302</v>
      </c>
      <c r="B92" s="38" t="s">
        <v>303</v>
      </c>
      <c r="C92" s="38" t="s">
        <v>210</v>
      </c>
      <c r="D92" s="45" t="n">
        <f aca="false">IF(D83&lt;0,-D83*u_Aw/u_A,IF(k_fr=1,0,D83*u_Aw/u_A))</f>
        <v>0</v>
      </c>
      <c r="E92" s="45" t="n">
        <f aca="false">IF(E83&lt;0,-E83*u_Aw/u_A,IF(k_fr=1,0,E83*u_Aw/u_A))</f>
        <v>0</v>
      </c>
      <c r="F92" s="45" t="n">
        <f aca="false">IF(F83&lt;0,-F83*u_Aw/u_A,IF(k_fr=1,0,F83*u_Aw/u_A))</f>
        <v>3964.28571428571</v>
      </c>
      <c r="G92" s="45" t="n">
        <f aca="false">IF(G83&lt;0,-G83*u_Aw/u_A,IF(k_fr=1,0,G83*u_Aw/u_A))</f>
        <v>0</v>
      </c>
      <c r="H92" s="45" t="n">
        <f aca="false">IF(H83&lt;0,-H83*u_Aw/u_A,IF(k_fr=1,0,H83*u_Aw/u_A))</f>
        <v>0</v>
      </c>
      <c r="I92" s="45" t="n">
        <f aca="false">IF(I83&lt;0,-I83*u_Aw/u_A,IF(k_fr=1,0,I83*u_Aw/u_A))</f>
        <v>0</v>
      </c>
      <c r="J92" s="45" t="n">
        <f aca="false">IF(J83&lt;0,-J83*u_Aw/u_A,IF(k_fr=1,0,J83*u_Aw/u_A))</f>
        <v>0</v>
      </c>
      <c r="K92" s="45" t="n">
        <f aca="false">IF(K83&lt;0,-K83*u_Aw/u_A,IF(k_fr=1,0,K83*u_Aw/u_A))</f>
        <v>0</v>
      </c>
      <c r="L92" s="45" t="n">
        <f aca="false">IF(L83&lt;0,-L83*u_Aw/u_A,IF(k_fr=1,0,L83*u_Aw/u_A))</f>
        <v>0</v>
      </c>
      <c r="M92" s="45" t="n">
        <f aca="false">IF(M83&lt;0,-M83*u_Aw/u_A,IF(k_fr=1,0,M83*u_Aw/u_A))</f>
        <v>0</v>
      </c>
    </row>
    <row r="93" customFormat="false" ht="15" hidden="false" customHeight="false" outlineLevel="0" collapsed="false">
      <c r="A93" s="38" t="s">
        <v>304</v>
      </c>
      <c r="B93" s="38" t="s">
        <v>305</v>
      </c>
      <c r="C93" s="38" t="s">
        <v>78</v>
      </c>
      <c r="D93" s="46" t="n">
        <f aca="false">IF(AND(k_fr=1,D83&gt;0),D83/k_Rbe,0)</f>
        <v>0.361142126846711</v>
      </c>
      <c r="E93" s="46" t="n">
        <f aca="false">IF(AND(k_fr=1,E83&gt;0),E83/k_Rbe,0)</f>
        <v>0.233680199724342</v>
      </c>
      <c r="F93" s="46" t="n">
        <f aca="false">IF(AND(k_fr=1,F83&gt;0),F83/k_Rbe,0)</f>
        <v>0</v>
      </c>
      <c r="G93" s="46" t="n">
        <f aca="false">IF(AND(k_fr=1,G83&gt;0),G83/k_Rbe,0)</f>
        <v>0</v>
      </c>
      <c r="H93" s="46" t="n">
        <f aca="false">IF(AND(k_fr=1,H83&gt;0),H83/k_Rbe,0)</f>
        <v>0</v>
      </c>
      <c r="I93" s="46" t="n">
        <f aca="false">IF(AND(k_fr=1,I83&gt;0),I83/k_Rbe,0)</f>
        <v>0</v>
      </c>
      <c r="J93" s="46" t="n">
        <f aca="false">IF(AND(k_fr=1,J83&gt;0),J83/k_Rbe,0)</f>
        <v>0</v>
      </c>
      <c r="K93" s="46" t="n">
        <f aca="false">IF(AND(k_fr=1,K83&gt;0),K83/k_Rbe,0)</f>
        <v>0</v>
      </c>
      <c r="L93" s="46" t="n">
        <f aca="false">IF(AND(k_fr=1,L83&gt;0),L83/k_Rbe,0)</f>
        <v>0</v>
      </c>
      <c r="M93" s="46" t="n">
        <f aca="false">IF(AND(k_fr=1,M83&gt;0),M83/k_Rbe,0)</f>
        <v>0</v>
      </c>
    </row>
    <row r="94" customFormat="false" ht="15" hidden="false" customHeight="false" outlineLevel="0" collapsed="false">
      <c r="A94" s="38" t="s">
        <v>304</v>
      </c>
      <c r="B94" s="38" t="s">
        <v>306</v>
      </c>
      <c r="C94" s="38" t="s">
        <v>78</v>
      </c>
      <c r="D94" s="46" t="n">
        <f aca="false">IF(t_ap=1,MAX(D91/(f_nb*f_rv),D91/(f_nb*f_rvs)),0)</f>
        <v>0</v>
      </c>
      <c r="E94" s="46" t="n">
        <f aca="false">IF(t_ap=1,MAX(E91/(f_nb*f_rv),E91/(f_nb*f_rvs)),0)</f>
        <v>0.108564344101774</v>
      </c>
      <c r="F94" s="46" t="n">
        <f aca="false">IF(t_ap=1,MAX(F91/(f_nb*f_rv),F91/(f_nb*f_rvs)),0)</f>
        <v>0.571017368159025</v>
      </c>
      <c r="G94" s="46" t="n">
        <f aca="false">IF(t_ap=1,MAX(G91/(f_nb*f_rv),G91/(f_nb*f_rvs)),0)</f>
        <v>0</v>
      </c>
      <c r="H94" s="46" t="n">
        <f aca="false">IF(t_ap=1,MAX(H91/(f_nb*f_rv),H91/(f_nb*f_rvs)),0)</f>
        <v>0</v>
      </c>
      <c r="I94" s="46" t="n">
        <f aca="false">IF(t_ap=1,MAX(I91/(f_nb*f_rv),I91/(f_nb*f_rvs)),0)</f>
        <v>0</v>
      </c>
      <c r="J94" s="46" t="n">
        <f aca="false">IF(t_ap=1,MAX(J91/(f_nb*f_rv),J91/(f_nb*f_rvs)),0)</f>
        <v>0</v>
      </c>
      <c r="K94" s="46" t="n">
        <f aca="false">IF(t_ap=1,MAX(K91/(f_nb*f_rv),K91/(f_nb*f_rvs)),0)</f>
        <v>0</v>
      </c>
      <c r="L94" s="46" t="n">
        <f aca="false">IF(t_ap=1,MAX(L91/(f_nb*f_rv),L91/(f_nb*f_rvs)),0)</f>
        <v>0</v>
      </c>
      <c r="M94" s="46" t="n">
        <f aca="false">IF(t_ap=1,MAX(M91/(f_nb*f_rv),M91/(f_nb*f_rvs)),0)</f>
        <v>0</v>
      </c>
    </row>
    <row r="95" customFormat="false" ht="15" hidden="false" customHeight="false" outlineLevel="0" collapsed="false">
      <c r="A95" s="38" t="s">
        <v>304</v>
      </c>
      <c r="B95" s="38" t="s">
        <v>307</v>
      </c>
      <c r="C95" s="38" t="s">
        <v>78</v>
      </c>
      <c r="D95" s="46" t="n">
        <f aca="false">IF(t_ap=1,D91/(f_nb*MIN(f_rbc,f_rbp)),0)</f>
        <v>0</v>
      </c>
      <c r="E95" s="46" t="n">
        <f aca="false">IF(t_ap=1,E91/(f_nb*MIN(f_rbc,f_rbp)),0)</f>
        <v>0.0564462079566261</v>
      </c>
      <c r="F95" s="46" t="n">
        <f aca="false">IF(t_ap=1,F91/(f_nb*MIN(f_rbc,f_rbp)),0)</f>
        <v>0.296890893383318</v>
      </c>
      <c r="G95" s="46" t="n">
        <f aca="false">IF(t_ap=1,G91/(f_nb*MIN(f_rbc,f_rbp)),0)</f>
        <v>0</v>
      </c>
      <c r="H95" s="46" t="n">
        <f aca="false">IF(t_ap=1,H91/(f_nb*MIN(f_rbc,f_rbp)),0)</f>
        <v>0</v>
      </c>
      <c r="I95" s="46" t="n">
        <f aca="false">IF(t_ap=1,I91/(f_nb*MIN(f_rbc,f_rbp)),0)</f>
        <v>0</v>
      </c>
      <c r="J95" s="46" t="n">
        <f aca="false">IF(t_ap=1,J91/(f_nb*MIN(f_rbc,f_rbp)),0)</f>
        <v>0</v>
      </c>
      <c r="K95" s="46" t="n">
        <f aca="false">IF(t_ap=1,K91/(f_nb*MIN(f_rbc,f_rbp)),0)</f>
        <v>0</v>
      </c>
      <c r="L95" s="46" t="n">
        <f aca="false">IF(t_ap=1,L91/(f_nb*MIN(f_rbc,f_rbp)),0)</f>
        <v>0</v>
      </c>
      <c r="M95" s="46" t="n">
        <f aca="false">IF(t_ap=1,M91/(f_nb*MIN(f_rbc,f_rbp)),0)</f>
        <v>0</v>
      </c>
    </row>
    <row r="96" customFormat="false" ht="15" hidden="false" customHeight="false" outlineLevel="0" collapsed="false">
      <c r="A96" s="38" t="s">
        <v>304</v>
      </c>
      <c r="B96" s="38" t="s">
        <v>308</v>
      </c>
      <c r="C96" s="38" t="s">
        <v>78</v>
      </c>
      <c r="D96" s="46" t="n">
        <f aca="false">IF(t_ap=1,D89/p_ty,0)</f>
        <v>0</v>
      </c>
      <c r="E96" s="46" t="n">
        <f aca="false">IF(t_ap=1,E89/p_ty,0)</f>
        <v>0.0726083511171231</v>
      </c>
      <c r="F96" s="46" t="n">
        <f aca="false">IF(t_ap=1,F89/p_ty,0)</f>
        <v>0.381899139209081</v>
      </c>
      <c r="G96" s="46" t="n">
        <f aca="false">IF(t_ap=1,G89/p_ty,0)</f>
        <v>0</v>
      </c>
      <c r="H96" s="46" t="n">
        <f aca="false">IF(t_ap=1,H89/p_ty,0)</f>
        <v>0</v>
      </c>
      <c r="I96" s="46" t="n">
        <f aca="false">IF(t_ap=1,I89/p_ty,0)</f>
        <v>0</v>
      </c>
      <c r="J96" s="46" t="n">
        <f aca="false">IF(t_ap=1,J89/p_ty,0)</f>
        <v>0</v>
      </c>
      <c r="K96" s="46" t="n">
        <f aca="false">IF(t_ap=1,K89/p_ty,0)</f>
        <v>0</v>
      </c>
      <c r="L96" s="46" t="n">
        <f aca="false">IF(t_ap=1,L89/p_ty,0)</f>
        <v>0</v>
      </c>
      <c r="M96" s="46" t="n">
        <f aca="false">IF(t_ap=1,M89/p_ty,0)</f>
        <v>0</v>
      </c>
    </row>
    <row r="97" customFormat="false" ht="15" hidden="false" customHeight="false" outlineLevel="0" collapsed="false">
      <c r="A97" s="38" t="s">
        <v>304</v>
      </c>
      <c r="B97" s="38" t="s">
        <v>309</v>
      </c>
      <c r="C97" s="38" t="s">
        <v>78</v>
      </c>
      <c r="D97" s="46" t="n">
        <f aca="false">IF(t_ap=1,D89/p_tr,0)</f>
        <v>0</v>
      </c>
      <c r="E97" s="46" t="n">
        <f aca="false">IF(t_ap=1,E89/p_tr,0)</f>
        <v>0.0889917880588033</v>
      </c>
      <c r="F97" s="46" t="n">
        <f aca="false">IF(t_ap=1,F89/p_tr,0)</f>
        <v>0.468071326967775</v>
      </c>
      <c r="G97" s="46" t="n">
        <f aca="false">IF(t_ap=1,G89/p_tr,0)</f>
        <v>0</v>
      </c>
      <c r="H97" s="46" t="n">
        <f aca="false">IF(t_ap=1,H89/p_tr,0)</f>
        <v>0</v>
      </c>
      <c r="I97" s="46" t="n">
        <f aca="false">IF(t_ap=1,I89/p_tr,0)</f>
        <v>0</v>
      </c>
      <c r="J97" s="46" t="n">
        <f aca="false">IF(t_ap=1,J89/p_tr,0)</f>
        <v>0</v>
      </c>
      <c r="K97" s="46" t="n">
        <f aca="false">IF(t_ap=1,K89/p_tr,0)</f>
        <v>0</v>
      </c>
      <c r="L97" s="46" t="n">
        <f aca="false">IF(t_ap=1,L89/p_tr,0)</f>
        <v>0</v>
      </c>
      <c r="M97" s="46" t="n">
        <f aca="false">IF(t_ap=1,M89/p_tr,0)</f>
        <v>0</v>
      </c>
    </row>
    <row r="98" customFormat="false" ht="15" hidden="false" customHeight="false" outlineLevel="0" collapsed="false">
      <c r="A98" s="38" t="s">
        <v>304</v>
      </c>
      <c r="B98" s="38" t="s">
        <v>310</v>
      </c>
      <c r="C98" s="38" t="s">
        <v>78</v>
      </c>
      <c r="D98" s="46" t="n">
        <f aca="false">IF(t_ap=1,D91/p_bs,0)</f>
        <v>0</v>
      </c>
      <c r="E98" s="46" t="n">
        <f aca="false">IF(t_ap=1,E91/p_bs,0)</f>
        <v>0.0576893202839349</v>
      </c>
      <c r="F98" s="46" t="n">
        <f aca="false">IF(t_ap=1,F91/p_bs,0)</f>
        <v>0.303429308323682</v>
      </c>
      <c r="G98" s="46" t="n">
        <f aca="false">IF(t_ap=1,G91/p_bs,0)</f>
        <v>0</v>
      </c>
      <c r="H98" s="46" t="n">
        <f aca="false">IF(t_ap=1,H91/p_bs,0)</f>
        <v>0</v>
      </c>
      <c r="I98" s="46" t="n">
        <f aca="false">IF(t_ap=1,I91/p_bs,0)</f>
        <v>0</v>
      </c>
      <c r="J98" s="46" t="n">
        <f aca="false">IF(t_ap=1,J91/p_bs,0)</f>
        <v>0</v>
      </c>
      <c r="K98" s="46" t="n">
        <f aca="false">IF(t_ap=1,K91/p_bs,0)</f>
        <v>0</v>
      </c>
      <c r="L98" s="46" t="n">
        <f aca="false">IF(t_ap=1,L91/p_bs,0)</f>
        <v>0</v>
      </c>
      <c r="M98" s="46" t="n">
        <f aca="false">IF(t_ap=1,M91/p_bs,0)</f>
        <v>0</v>
      </c>
    </row>
    <row r="99" customFormat="false" ht="15" hidden="false" customHeight="false" outlineLevel="0" collapsed="false">
      <c r="A99" s="38" t="s">
        <v>304</v>
      </c>
      <c r="B99" s="38" t="s">
        <v>311</v>
      </c>
      <c r="C99" s="38" t="s">
        <v>78</v>
      </c>
      <c r="D99" s="46" t="n">
        <f aca="false">IF(t_ap=1,D90/p_cb,0)</f>
        <v>0</v>
      </c>
      <c r="E99" s="46" t="n">
        <f aca="false">IF(t_ap=1,E90/p_cb,0)</f>
        <v>0</v>
      </c>
      <c r="F99" s="46" t="n">
        <f aca="false">IF(t_ap=1,F90/p_cb,0)</f>
        <v>0</v>
      </c>
      <c r="G99" s="46" t="n">
        <f aca="false">IF(t_ap=1,G90/p_cb,0)</f>
        <v>0</v>
      </c>
      <c r="H99" s="46" t="n">
        <f aca="false">IF(t_ap=1,H90/p_cb,0)</f>
        <v>0</v>
      </c>
      <c r="I99" s="46" t="n">
        <f aca="false">IF(t_ap=1,I90/p_cb,0)</f>
        <v>0</v>
      </c>
      <c r="J99" s="46" t="n">
        <f aca="false">IF(t_ap=1,J90/p_cb,0)</f>
        <v>0</v>
      </c>
      <c r="K99" s="46" t="n">
        <f aca="false">IF(t_ap=1,K90/p_cb,0)</f>
        <v>0</v>
      </c>
      <c r="L99" s="46" t="n">
        <f aca="false">IF(t_ap=1,L90/p_cb,0)</f>
        <v>0</v>
      </c>
      <c r="M99" s="46" t="n">
        <f aca="false">IF(t_ap=1,M90/p_cb,0)</f>
        <v>0</v>
      </c>
    </row>
    <row r="100" customFormat="false" ht="15" hidden="false" customHeight="false" outlineLevel="0" collapsed="false">
      <c r="A100" s="38" t="s">
        <v>304</v>
      </c>
      <c r="B100" s="38" t="s">
        <v>312</v>
      </c>
      <c r="C100" s="38" t="s">
        <v>78</v>
      </c>
      <c r="D100" s="46" t="n">
        <f aca="false">IF(t_ap=1,D89/c_tr,0)</f>
        <v>0</v>
      </c>
      <c r="E100" s="46" t="n">
        <f aca="false">IF(t_ap=1,E89/c_tr,0)</f>
        <v>0.0620396624692808</v>
      </c>
      <c r="F100" s="46" t="n">
        <f aca="false">IF(t_ap=1,F89/c_tr,0)</f>
        <v>0.326310862721862</v>
      </c>
      <c r="G100" s="46" t="n">
        <f aca="false">IF(t_ap=1,G89/c_tr,0)</f>
        <v>0</v>
      </c>
      <c r="H100" s="46" t="n">
        <f aca="false">IF(t_ap=1,H89/c_tr,0)</f>
        <v>0</v>
      </c>
      <c r="I100" s="46" t="n">
        <f aca="false">IF(t_ap=1,I89/c_tr,0)</f>
        <v>0</v>
      </c>
      <c r="J100" s="46" t="n">
        <f aca="false">IF(t_ap=1,J89/c_tr,0)</f>
        <v>0</v>
      </c>
      <c r="K100" s="46" t="n">
        <f aca="false">IF(t_ap=1,K89/c_tr,0)</f>
        <v>0</v>
      </c>
      <c r="L100" s="46" t="n">
        <f aca="false">IF(t_ap=1,L89/c_tr,0)</f>
        <v>0</v>
      </c>
      <c r="M100" s="46" t="n">
        <f aca="false">IF(t_ap=1,M89/c_tr,0)</f>
        <v>0</v>
      </c>
    </row>
    <row r="101" customFormat="false" ht="15" hidden="false" customHeight="false" outlineLevel="0" collapsed="false">
      <c r="A101" s="38" t="s">
        <v>304</v>
      </c>
      <c r="B101" s="38" t="s">
        <v>313</v>
      </c>
      <c r="C101" s="38" t="s">
        <v>78</v>
      </c>
      <c r="D101" s="46" t="n">
        <f aca="false">IF(t_ap=1,D91/c_bs,0)</f>
        <v>0</v>
      </c>
      <c r="E101" s="46" t="n">
        <f aca="false">IF(t_ap=1,E91/c_bs,0)</f>
        <v>0.0421225207206313</v>
      </c>
      <c r="F101" s="46" t="n">
        <f aca="false">IF(t_ap=1,F91/c_bs,0)</f>
        <v>0.221552399373136</v>
      </c>
      <c r="G101" s="46" t="n">
        <f aca="false">IF(t_ap=1,G91/c_bs,0)</f>
        <v>0</v>
      </c>
      <c r="H101" s="46" t="n">
        <f aca="false">IF(t_ap=1,H91/c_bs,0)</f>
        <v>0</v>
      </c>
      <c r="I101" s="46" t="n">
        <f aca="false">IF(t_ap=1,I91/c_bs,0)</f>
        <v>0</v>
      </c>
      <c r="J101" s="46" t="n">
        <f aca="false">IF(t_ap=1,J91/c_bs,0)</f>
        <v>0</v>
      </c>
      <c r="K101" s="46" t="n">
        <f aca="false">IF(t_ap=1,K91/c_bs,0)</f>
        <v>0</v>
      </c>
      <c r="L101" s="46" t="n">
        <f aca="false">IF(t_ap=1,L91/c_bs,0)</f>
        <v>0</v>
      </c>
      <c r="M101" s="46" t="n">
        <f aca="false">IF(t_ap=1,M91/c_bs,0)</f>
        <v>0</v>
      </c>
    </row>
    <row r="102" customFormat="false" ht="15" hidden="false" customHeight="false" outlineLevel="0" collapsed="false">
      <c r="A102" s="38" t="s">
        <v>314</v>
      </c>
      <c r="B102" s="38" t="s">
        <v>315</v>
      </c>
      <c r="C102" s="38" t="s">
        <v>287</v>
      </c>
      <c r="D102" s="45" t="n">
        <f aca="false">D85*w_e</f>
        <v>7900</v>
      </c>
      <c r="E102" s="45" t="n">
        <f aca="false">E85*w_e</f>
        <v>31600</v>
      </c>
      <c r="F102" s="45" t="n">
        <f aca="false">F85*w_e</f>
        <v>31600</v>
      </c>
      <c r="G102" s="45" t="n">
        <f aca="false">G85*w_e</f>
        <v>0</v>
      </c>
      <c r="H102" s="45" t="n">
        <f aca="false">H85*w_e</f>
        <v>0</v>
      </c>
      <c r="I102" s="45" t="n">
        <f aca="false">I85*w_e</f>
        <v>0</v>
      </c>
      <c r="J102" s="45" t="n">
        <f aca="false">J85*w_e</f>
        <v>0</v>
      </c>
      <c r="K102" s="45" t="n">
        <f aca="false">K85*w_e</f>
        <v>0</v>
      </c>
      <c r="L102" s="45" t="n">
        <f aca="false">L85*w_e</f>
        <v>0</v>
      </c>
      <c r="M102" s="45" t="n">
        <f aca="false">M85*w_e</f>
        <v>0</v>
      </c>
    </row>
    <row r="103" customFormat="false" ht="15" hidden="false" customHeight="false" outlineLevel="0" collapsed="false">
      <c r="A103" s="38" t="s">
        <v>316</v>
      </c>
      <c r="B103" s="38" t="s">
        <v>317</v>
      </c>
      <c r="C103" s="38" t="s">
        <v>210</v>
      </c>
      <c r="D103" s="45" t="n">
        <f aca="false">SQRT((D85/w_n+D102*w_ym/MAX(w_Ip,0.000000001))^2+(D102*w_xm/MAX(w_Ip,0.000000001)+D92/w_n)^2)</f>
        <v>507.105511703432</v>
      </c>
      <c r="E103" s="45" t="n">
        <f aca="false">SQRT((E85/w_n+E102*w_ym/MAX(w_Ip,0.000000001))^2+(E102*w_xm/MAX(w_Ip,0.000000001)+E92/w_n)^2)</f>
        <v>2028.42204681373</v>
      </c>
      <c r="F103" s="45" t="n">
        <f aca="false">SQRT((F85/w_n+F102*w_ym/MAX(w_Ip,0.000000001))^2+(F102*w_xm/MAX(w_Ip,0.000000001)+F92/w_n)^2)</f>
        <v>2664.78168593104</v>
      </c>
      <c r="G103" s="45" t="n">
        <f aca="false">SQRT((G85/w_n+G102*w_ym/MAX(w_Ip,0.000000001))^2+(G102*w_xm/MAX(w_Ip,0.000000001)+G92/w_n)^2)</f>
        <v>0</v>
      </c>
      <c r="H103" s="45" t="n">
        <f aca="false">SQRT((H85/w_n+H102*w_ym/MAX(w_Ip,0.000000001))^2+(H102*w_xm/MAX(w_Ip,0.000000001)+H92/w_n)^2)</f>
        <v>0</v>
      </c>
      <c r="I103" s="45" t="n">
        <f aca="false">SQRT((I85/w_n+I102*w_ym/MAX(w_Ip,0.000000001))^2+(I102*w_xm/MAX(w_Ip,0.000000001)+I92/w_n)^2)</f>
        <v>0</v>
      </c>
      <c r="J103" s="45" t="n">
        <f aca="false">SQRT((J85/w_n+J102*w_ym/MAX(w_Ip,0.000000001))^2+(J102*w_xm/MAX(w_Ip,0.000000001)+J92/w_n)^2)</f>
        <v>0</v>
      </c>
      <c r="K103" s="45" t="n">
        <f aca="false">SQRT((K85/w_n+K102*w_ym/MAX(w_Ip,0.000000001))^2+(K102*w_xm/MAX(w_Ip,0.000000001)+K92/w_n)^2)</f>
        <v>0</v>
      </c>
      <c r="L103" s="45" t="n">
        <f aca="false">SQRT((L85/w_n+L102*w_ym/MAX(w_Ip,0.000000001))^2+(L102*w_xm/MAX(w_Ip,0.000000001)+L92/w_n)^2)</f>
        <v>0</v>
      </c>
      <c r="M103" s="45" t="n">
        <f aca="false">SQRT((M85/w_n+M102*w_ym/MAX(w_Ip,0.000000001))^2+(M102*w_xm/MAX(w_Ip,0.000000001)+M92/w_n)^2)</f>
        <v>0</v>
      </c>
    </row>
    <row r="104" customFormat="false" ht="15" hidden="false" customHeight="false" outlineLevel="0" collapsed="false">
      <c r="A104" s="38" t="s">
        <v>304</v>
      </c>
      <c r="B104" s="38" t="s">
        <v>318</v>
      </c>
      <c r="C104" s="38" t="s">
        <v>78</v>
      </c>
      <c r="D104" s="46" t="n">
        <f aca="false">IF(t_ap=1,MAX(D103/w_rv,D103/w_rvs),0)</f>
        <v>0.0312382454731617</v>
      </c>
      <c r="E104" s="46" t="n">
        <f aca="false">IF(t_ap=1,MAX(E103/w_rv,E103/w_rvs),0)</f>
        <v>0.124952981892647</v>
      </c>
      <c r="F104" s="46" t="n">
        <f aca="false">IF(t_ap=1,MAX(F103/w_rv,F103/w_rvs),0)</f>
        <v>0.164153420770118</v>
      </c>
      <c r="G104" s="46" t="n">
        <f aca="false">IF(t_ap=1,MAX(G103/w_rv,G103/w_rvs),0)</f>
        <v>0</v>
      </c>
      <c r="H104" s="46" t="n">
        <f aca="false">IF(t_ap=1,MAX(H103/w_rv,H103/w_rvs),0)</f>
        <v>0</v>
      </c>
      <c r="I104" s="46" t="n">
        <f aca="false">IF(t_ap=1,MAX(I103/w_rv,I103/w_rvs),0)</f>
        <v>0</v>
      </c>
      <c r="J104" s="46" t="n">
        <f aca="false">IF(t_ap=1,MAX(J103/w_rv,J103/w_rvs),0)</f>
        <v>0</v>
      </c>
      <c r="K104" s="46" t="n">
        <f aca="false">IF(t_ap=1,MAX(K103/w_rv,K103/w_rvs),0)</f>
        <v>0</v>
      </c>
      <c r="L104" s="46" t="n">
        <f aca="false">IF(t_ap=1,MAX(L103/w_rv,L103/w_rvs),0)</f>
        <v>0</v>
      </c>
      <c r="M104" s="46" t="n">
        <f aca="false">IF(t_ap=1,MAX(M103/w_rv,M103/w_rvs),0)</f>
        <v>0</v>
      </c>
    </row>
    <row r="105" customFormat="false" ht="15" hidden="false" customHeight="false" outlineLevel="0" collapsed="false">
      <c r="A105" s="38" t="s">
        <v>304</v>
      </c>
      <c r="B105" s="38" t="s">
        <v>319</v>
      </c>
      <c r="C105" s="38" t="s">
        <v>78</v>
      </c>
      <c r="D105" s="46" t="n">
        <f aca="false">IF(t_ap=1,D103/w_rb,0)</f>
        <v>0.0519239170526164</v>
      </c>
      <c r="E105" s="46" t="n">
        <f aca="false">IF(t_ap=1,E103/w_rb,0)</f>
        <v>0.207695668210465</v>
      </c>
      <c r="F105" s="46" t="n">
        <f aca="false">IF(t_ap=1,F103/w_rb,0)</f>
        <v>0.272854268057205</v>
      </c>
      <c r="G105" s="46" t="n">
        <f aca="false">IF(t_ap=1,G103/w_rb,0)</f>
        <v>0</v>
      </c>
      <c r="H105" s="46" t="n">
        <f aca="false">IF(t_ap=1,H103/w_rb,0)</f>
        <v>0</v>
      </c>
      <c r="I105" s="46" t="n">
        <f aca="false">IF(t_ap=1,I103/w_rb,0)</f>
        <v>0</v>
      </c>
      <c r="J105" s="46" t="n">
        <f aca="false">IF(t_ap=1,J103/w_rb,0)</f>
        <v>0</v>
      </c>
      <c r="K105" s="46" t="n">
        <f aca="false">IF(t_ap=1,K103/w_rb,0)</f>
        <v>0</v>
      </c>
      <c r="L105" s="46" t="n">
        <f aca="false">IF(t_ap=1,L103/w_rb,0)</f>
        <v>0</v>
      </c>
      <c r="M105" s="46" t="n">
        <f aca="false">IF(t_ap=1,M103/w_rb,0)</f>
        <v>0</v>
      </c>
    </row>
    <row r="106" customFormat="false" ht="15" hidden="false" customHeight="false" outlineLevel="0" collapsed="false">
      <c r="A106" s="38" t="s">
        <v>304</v>
      </c>
      <c r="B106" s="38" t="s">
        <v>320</v>
      </c>
      <c r="C106" s="38" t="s">
        <v>78</v>
      </c>
      <c r="D106" s="46" t="n">
        <f aca="false">IF(t_ap=1,MAX(D85/MIN(w_vy,w_vr),D92/w_ay),0)</f>
        <v>0.0218845350919396</v>
      </c>
      <c r="E106" s="46" t="n">
        <f aca="false">IF(t_ap=1,MAX(E85/MIN(w_vy,w_vr),E92/w_ay),0)</f>
        <v>0.0875381403677582</v>
      </c>
      <c r="F106" s="46" t="n">
        <f aca="false">IF(t_ap=1,MAX(F85/MIN(w_vy,w_vr),F92/w_ay),0)</f>
        <v>0.0875381403677582</v>
      </c>
      <c r="G106" s="46" t="n">
        <f aca="false">IF(t_ap=1,MAX(G85/MIN(w_vy,w_vr),G92/w_ay),0)</f>
        <v>0</v>
      </c>
      <c r="H106" s="46" t="n">
        <f aca="false">IF(t_ap=1,MAX(H85/MIN(w_vy,w_vr),H92/w_ay),0)</f>
        <v>0</v>
      </c>
      <c r="I106" s="46" t="n">
        <f aca="false">IF(t_ap=1,MAX(I85/MIN(w_vy,w_vr),I92/w_ay),0)</f>
        <v>0</v>
      </c>
      <c r="J106" s="46" t="n">
        <f aca="false">IF(t_ap=1,MAX(J85/MIN(w_vy,w_vr),J92/w_ay),0)</f>
        <v>0</v>
      </c>
      <c r="K106" s="46" t="n">
        <f aca="false">IF(t_ap=1,MAX(K85/MIN(w_vy,w_vr),K92/w_ay),0)</f>
        <v>0</v>
      </c>
      <c r="L106" s="46" t="n">
        <f aca="false">IF(t_ap=1,MAX(L85/MIN(w_vy,w_vr),L92/w_ay),0)</f>
        <v>0</v>
      </c>
      <c r="M106" s="46" t="n">
        <f aca="false">IF(t_ap=1,MAX(M85/MIN(w_vy,w_vr),M92/w_ay),0)</f>
        <v>0</v>
      </c>
    </row>
    <row r="107" customFormat="false" ht="15" hidden="false" customHeight="false" outlineLevel="0" collapsed="false">
      <c r="A107" s="38" t="s">
        <v>304</v>
      </c>
      <c r="B107" s="38" t="s">
        <v>321</v>
      </c>
      <c r="C107" s="38" t="s">
        <v>78</v>
      </c>
      <c r="D107" s="46" t="n">
        <f aca="false">IF(t_ap=1,0,MAX(k_s2*D89/s_Rft,k_s2*D90/s_Rfc))</f>
        <v>0</v>
      </c>
      <c r="E107" s="46" t="n">
        <f aca="false">IF(t_ap=1,0,MAX(k_s2*E89/s_Rft,k_s2*E90/s_Rfc))</f>
        <v>0</v>
      </c>
      <c r="F107" s="46" t="n">
        <f aca="false">IF(t_ap=1,0,MAX(k_s2*F89/s_Rft,k_s2*F90/s_Rfc))</f>
        <v>0</v>
      </c>
      <c r="G107" s="46" t="n">
        <f aca="false">IF(t_ap=1,0,MAX(k_s2*G89/s_Rft,k_s2*G90/s_Rfc))</f>
        <v>0</v>
      </c>
      <c r="H107" s="46" t="n">
        <f aca="false">IF(t_ap=1,0,MAX(k_s2*H89/s_Rft,k_s2*H90/s_Rfc))</f>
        <v>0</v>
      </c>
      <c r="I107" s="46" t="n">
        <f aca="false">IF(t_ap=1,0,MAX(k_s2*I89/s_Rft,k_s2*I90/s_Rfc))</f>
        <v>0</v>
      </c>
      <c r="J107" s="46" t="n">
        <f aca="false">IF(t_ap=1,0,MAX(k_s2*J89/s_Rft,k_s2*J90/s_Rfc))</f>
        <v>0</v>
      </c>
      <c r="K107" s="46" t="n">
        <f aca="false">IF(t_ap=1,0,MAX(k_s2*K89/s_Rft,k_s2*K90/s_Rfc))</f>
        <v>0</v>
      </c>
      <c r="L107" s="46" t="n">
        <f aca="false">IF(t_ap=1,0,MAX(k_s2*L89/s_Rft,k_s2*L90/s_Rfc))</f>
        <v>0</v>
      </c>
      <c r="M107" s="46" t="n">
        <f aca="false">IF(t_ap=1,0,MAX(k_s2*M89/s_Rft,k_s2*M90/s_Rfc))</f>
        <v>0</v>
      </c>
    </row>
    <row r="108" customFormat="false" ht="15" hidden="false" customHeight="false" outlineLevel="0" collapsed="false">
      <c r="A108" s="38" t="s">
        <v>304</v>
      </c>
      <c r="B108" s="38" t="s">
        <v>322</v>
      </c>
      <c r="C108" s="38" t="s">
        <v>78</v>
      </c>
      <c r="D108" s="46" t="n">
        <f aca="false">IF(t_ap=1,0,k_s2*D85/s_Rwv)</f>
        <v>0</v>
      </c>
      <c r="E108" s="46" t="n">
        <f aca="false">IF(t_ap=1,0,k_s2*E85/s_Rwv)</f>
        <v>0</v>
      </c>
      <c r="F108" s="46" t="n">
        <f aca="false">IF(t_ap=1,0,k_s2*F85/s_Rwv)</f>
        <v>0</v>
      </c>
      <c r="G108" s="46" t="n">
        <f aca="false">IF(t_ap=1,0,k_s2*G85/s_Rwv)</f>
        <v>0</v>
      </c>
      <c r="H108" s="46" t="n">
        <f aca="false">IF(t_ap=1,0,k_s2*H85/s_Rwv)</f>
        <v>0</v>
      </c>
      <c r="I108" s="46" t="n">
        <f aca="false">IF(t_ap=1,0,k_s2*I85/s_Rwv)</f>
        <v>0</v>
      </c>
      <c r="J108" s="46" t="n">
        <f aca="false">IF(t_ap=1,0,k_s2*J85/s_Rwv)</f>
        <v>0</v>
      </c>
      <c r="K108" s="46" t="n">
        <f aca="false">IF(t_ap=1,0,k_s2*K85/s_Rwv)</f>
        <v>0</v>
      </c>
      <c r="L108" s="46" t="n">
        <f aca="false">IF(t_ap=1,0,k_s2*L85/s_Rwv)</f>
        <v>0</v>
      </c>
      <c r="M108" s="46" t="n">
        <f aca="false">IF(t_ap=1,0,k_s2*M85/s_Rwv)</f>
        <v>0</v>
      </c>
    </row>
    <row r="109" customFormat="false" ht="15" hidden="false" customHeight="false" outlineLevel="0" collapsed="false">
      <c r="A109" s="38" t="s">
        <v>323</v>
      </c>
      <c r="B109" s="38" t="s">
        <v>139</v>
      </c>
      <c r="C109" s="38" t="s">
        <v>78</v>
      </c>
      <c r="D109" s="46" t="n">
        <f aca="false">MAX(D93,D94,D95,D96,D97,D98,D99,D100,D101,D104,D105,D106,D107,D108)</f>
        <v>0.361142126846711</v>
      </c>
      <c r="E109" s="46" t="n">
        <f aca="false">MAX(E93,E94,E95,E96,E97,E98,E99,E100,E101,E104,E105,E106,E107,E108)</f>
        <v>0.233680199724342</v>
      </c>
      <c r="F109" s="46" t="n">
        <f aca="false">MAX(F93,F94,F95,F96,F97,F98,F99,F100,F101,F104,F105,F106,F107,F108)</f>
        <v>0.571017368159025</v>
      </c>
      <c r="G109" s="46" t="n">
        <f aca="false">MAX(G93,G94,G95,G96,G97,G98,G99,G100,G101,G104,G105,G106,G107,G108)</f>
        <v>0</v>
      </c>
      <c r="H109" s="46" t="n">
        <f aca="false">MAX(H93,H94,H95,H96,H97,H98,H99,H100,H101,H104,H105,H106,H107,H108)</f>
        <v>0</v>
      </c>
      <c r="I109" s="46" t="n">
        <f aca="false">MAX(I93,I94,I95,I96,I97,I98,I99,I100,I101,I104,I105,I106,I107,I108)</f>
        <v>0</v>
      </c>
      <c r="J109" s="46" t="n">
        <f aca="false">MAX(J93,J94,J95,J96,J97,J98,J99,J100,J101,J104,J105,J106,J107,J108)</f>
        <v>0</v>
      </c>
      <c r="K109" s="46" t="n">
        <f aca="false">MAX(K93,K94,K95,K96,K97,K98,K99,K100,K101,K104,K105,K106,K107,K108)</f>
        <v>0</v>
      </c>
      <c r="L109" s="46" t="n">
        <f aca="false">MAX(L93,L94,L95,L96,L97,L98,L99,L100,L101,L104,L105,L106,L107,L108)</f>
        <v>0</v>
      </c>
      <c r="M109" s="46" t="n">
        <f aca="false">MAX(M93,M94,M95,M96,M97,M98,M99,M100,M101,M104,M105,M106,M107,M108)</f>
        <v>0</v>
      </c>
    </row>
  </sheetData>
  <mergeCells count="5">
    <mergeCell ref="A4:M4"/>
    <mergeCell ref="A29:M29"/>
    <mergeCell ref="A53:M53"/>
    <mergeCell ref="A73:M73"/>
    <mergeCell ref="A80:M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7" style="0" width="12"/>
    <col collapsed="false" customWidth="true" hidden="false" outlineLevel="0" max="11" min="11" style="0" width="22"/>
    <col collapsed="false" customWidth="true" hidden="false" outlineLevel="0" max="15" min="15" style="0" width="8"/>
    <col collapsed="false" customWidth="true" hidden="false" outlineLevel="0" max="19" min="19" style="0" width="10"/>
    <col collapsed="false" customWidth="true" hidden="false" outlineLevel="0" max="26" min="26" style="0" width="38"/>
  </cols>
  <sheetData>
    <row r="1" customFormat="false" ht="15" hidden="false" customHeight="false" outlineLevel="0" collapsed="false">
      <c r="A1" s="47" t="s">
        <v>324</v>
      </c>
    </row>
    <row r="3" customFormat="false" ht="15" hidden="false" customHeight="false" outlineLevel="0" collapsed="false">
      <c r="A3" s="48" t="s">
        <v>325</v>
      </c>
      <c r="G3" s="48" t="s">
        <v>326</v>
      </c>
      <c r="K3" s="48" t="s">
        <v>327</v>
      </c>
      <c r="O3" s="48" t="s">
        <v>328</v>
      </c>
      <c r="U3" s="48" t="s">
        <v>164</v>
      </c>
      <c r="X3" s="48" t="s">
        <v>329</v>
      </c>
      <c r="Z3" s="48" t="s">
        <v>330</v>
      </c>
      <c r="AB3" s="48" t="s">
        <v>331</v>
      </c>
    </row>
    <row r="4" customFormat="false" ht="15" hidden="false" customHeight="false" outlineLevel="0" collapsed="false">
      <c r="A4" s="49" t="s">
        <v>332</v>
      </c>
      <c r="B4" s="49" t="s">
        <v>333</v>
      </c>
      <c r="C4" s="49" t="s">
        <v>334</v>
      </c>
      <c r="D4" s="49" t="s">
        <v>335</v>
      </c>
      <c r="E4" s="49" t="s">
        <v>336</v>
      </c>
      <c r="G4" s="49" t="s">
        <v>61</v>
      </c>
      <c r="H4" s="49" t="s">
        <v>337</v>
      </c>
      <c r="I4" s="49" t="s">
        <v>338</v>
      </c>
      <c r="K4" s="49" t="s">
        <v>122</v>
      </c>
      <c r="L4" s="49" t="s">
        <v>227</v>
      </c>
      <c r="M4" s="49" t="s">
        <v>339</v>
      </c>
      <c r="O4" s="49" t="s">
        <v>340</v>
      </c>
      <c r="P4" s="49" t="s">
        <v>341</v>
      </c>
      <c r="Q4" s="49" t="s">
        <v>342</v>
      </c>
      <c r="R4" s="49" t="s">
        <v>343</v>
      </c>
      <c r="S4" s="49" t="s">
        <v>344</v>
      </c>
      <c r="U4" s="49" t="s">
        <v>164</v>
      </c>
      <c r="V4" s="49" t="s">
        <v>273</v>
      </c>
      <c r="X4" s="49" t="s">
        <v>345</v>
      </c>
      <c r="Z4" s="49" t="s">
        <v>346</v>
      </c>
      <c r="AB4" s="49" t="s">
        <v>347</v>
      </c>
    </row>
    <row r="5" customFormat="false" ht="15" hidden="false" customHeight="false" outlineLevel="0" collapsed="false">
      <c r="A5" s="7" t="s">
        <v>348</v>
      </c>
      <c r="B5" s="7"/>
      <c r="C5" s="7"/>
      <c r="D5" s="7"/>
      <c r="E5" s="7"/>
      <c r="G5" s="7" t="s">
        <v>149</v>
      </c>
      <c r="H5" s="7" t="n">
        <v>2530</v>
      </c>
      <c r="I5" s="7" t="n">
        <v>4080</v>
      </c>
      <c r="K5" s="7" t="s">
        <v>123</v>
      </c>
      <c r="L5" s="7" t="n">
        <v>3797</v>
      </c>
      <c r="M5" s="7" t="s">
        <v>196</v>
      </c>
      <c r="O5" s="7" t="s">
        <v>349</v>
      </c>
      <c r="P5" s="7" t="n">
        <v>0.625</v>
      </c>
      <c r="Q5" s="7" t="n">
        <v>0.875</v>
      </c>
      <c r="R5" s="7" t="n">
        <v>8618</v>
      </c>
      <c r="S5" s="7" t="n">
        <v>10886</v>
      </c>
      <c r="U5" s="7" t="s">
        <v>350</v>
      </c>
      <c r="V5" s="7" t="n">
        <v>4220</v>
      </c>
      <c r="X5" s="7" t="s">
        <v>28</v>
      </c>
      <c r="Z5" s="7" t="s">
        <v>131</v>
      </c>
      <c r="AB5" s="7" t="n">
        <v>0</v>
      </c>
    </row>
    <row r="6" customFormat="false" ht="15" hidden="false" customHeight="false" outlineLevel="0" collapsed="false">
      <c r="A6" s="7" t="s">
        <v>351</v>
      </c>
      <c r="B6" s="7" t="n">
        <v>250</v>
      </c>
      <c r="C6" s="7" t="n">
        <v>130</v>
      </c>
      <c r="D6" s="7" t="n">
        <v>4</v>
      </c>
      <c r="E6" s="7" t="n">
        <v>8</v>
      </c>
      <c r="G6" s="7" t="s">
        <v>62</v>
      </c>
      <c r="H6" s="7" t="n">
        <v>3515</v>
      </c>
      <c r="I6" s="7" t="n">
        <v>4570</v>
      </c>
      <c r="K6" s="7" t="s">
        <v>352</v>
      </c>
      <c r="L6" s="7" t="n">
        <v>4781</v>
      </c>
      <c r="M6" s="7" t="s">
        <v>196</v>
      </c>
      <c r="O6" s="7" t="s">
        <v>127</v>
      </c>
      <c r="P6" s="7" t="n">
        <v>0.75</v>
      </c>
      <c r="Q6" s="7" t="n">
        <v>1</v>
      </c>
      <c r="R6" s="7" t="n">
        <v>12701</v>
      </c>
      <c r="S6" s="7" t="n">
        <v>15876</v>
      </c>
      <c r="U6" s="7" t="s">
        <v>165</v>
      </c>
      <c r="V6" s="7" t="n">
        <v>4920</v>
      </c>
      <c r="X6" s="7" t="s">
        <v>353</v>
      </c>
      <c r="Z6" s="7" t="s">
        <v>354</v>
      </c>
      <c r="AB6" s="7" t="n">
        <v>3</v>
      </c>
    </row>
    <row r="7" customFormat="false" ht="15" hidden="false" customHeight="false" outlineLevel="0" collapsed="false">
      <c r="A7" s="7" t="s">
        <v>355</v>
      </c>
      <c r="B7" s="7" t="n">
        <v>300</v>
      </c>
      <c r="C7" s="7" t="n">
        <v>150</v>
      </c>
      <c r="D7" s="7" t="n">
        <v>4</v>
      </c>
      <c r="E7" s="7" t="n">
        <v>10</v>
      </c>
      <c r="G7" s="7" t="s">
        <v>356</v>
      </c>
      <c r="H7" s="7" t="n">
        <v>3515</v>
      </c>
      <c r="I7" s="7" t="n">
        <v>4570</v>
      </c>
      <c r="K7" s="7" t="s">
        <v>357</v>
      </c>
      <c r="L7" s="7" t="n">
        <v>4781</v>
      </c>
      <c r="M7" s="7" t="s">
        <v>358</v>
      </c>
      <c r="O7" s="7" t="s">
        <v>359</v>
      </c>
      <c r="P7" s="7" t="n">
        <v>0.875</v>
      </c>
      <c r="Q7" s="7" t="n">
        <v>1.125</v>
      </c>
      <c r="R7" s="7" t="n">
        <v>17690</v>
      </c>
      <c r="S7" s="7" t="n">
        <v>22226</v>
      </c>
      <c r="Z7" s="7" t="s">
        <v>360</v>
      </c>
      <c r="AB7" s="7" t="n">
        <v>5</v>
      </c>
    </row>
    <row r="8" customFormat="false" ht="15" hidden="false" customHeight="false" outlineLevel="0" collapsed="false">
      <c r="A8" s="7" t="s">
        <v>361</v>
      </c>
      <c r="B8" s="7" t="n">
        <v>330</v>
      </c>
      <c r="C8" s="7" t="n">
        <v>160</v>
      </c>
      <c r="D8" s="7" t="n">
        <v>6</v>
      </c>
      <c r="E8" s="7" t="n">
        <v>10</v>
      </c>
      <c r="G8" s="7" t="s">
        <v>362</v>
      </c>
      <c r="H8" s="7" t="n">
        <v>3515</v>
      </c>
      <c r="I8" s="7" t="n">
        <v>4920</v>
      </c>
      <c r="K8" s="7" t="s">
        <v>363</v>
      </c>
      <c r="L8" s="7" t="n">
        <v>5906</v>
      </c>
      <c r="M8" s="7" t="s">
        <v>358</v>
      </c>
      <c r="O8" s="7" t="s">
        <v>364</v>
      </c>
      <c r="P8" s="7" t="n">
        <v>1</v>
      </c>
      <c r="Q8" s="7" t="n">
        <v>1.25</v>
      </c>
      <c r="R8" s="7" t="n">
        <v>23133</v>
      </c>
      <c r="S8" s="7" t="n">
        <v>29030</v>
      </c>
      <c r="AB8" s="7" t="n">
        <v>6</v>
      </c>
    </row>
    <row r="9" customFormat="false" ht="15" hidden="false" customHeight="false" outlineLevel="0" collapsed="false">
      <c r="A9" s="7" t="s">
        <v>365</v>
      </c>
      <c r="B9" s="7" t="n">
        <v>360</v>
      </c>
      <c r="C9" s="7" t="n">
        <v>180</v>
      </c>
      <c r="D9" s="7" t="n">
        <v>6</v>
      </c>
      <c r="E9" s="7" t="n">
        <v>10</v>
      </c>
      <c r="O9" s="7" t="s">
        <v>366</v>
      </c>
      <c r="P9" s="7" t="n">
        <v>1.125</v>
      </c>
      <c r="Q9" s="7" t="n">
        <v>1.5</v>
      </c>
      <c r="R9" s="7" t="n">
        <v>29030</v>
      </c>
      <c r="S9" s="7" t="n">
        <v>36287</v>
      </c>
      <c r="AB9" s="7" t="n">
        <v>8</v>
      </c>
    </row>
    <row r="10" customFormat="false" ht="15" hidden="false" customHeight="false" outlineLevel="0" collapsed="false">
      <c r="A10" s="7" t="s">
        <v>367</v>
      </c>
      <c r="B10" s="7" t="n">
        <v>400</v>
      </c>
      <c r="C10" s="7" t="n">
        <v>180</v>
      </c>
      <c r="D10" s="7" t="n">
        <v>6</v>
      </c>
      <c r="E10" s="7" t="n">
        <v>10</v>
      </c>
      <c r="O10" s="7" t="s">
        <v>368</v>
      </c>
      <c r="P10" s="7" t="n">
        <v>1.25</v>
      </c>
      <c r="Q10" s="7" t="n">
        <v>1.625</v>
      </c>
      <c r="R10" s="7" t="n">
        <v>36741</v>
      </c>
      <c r="S10" s="7" t="n">
        <v>46266</v>
      </c>
      <c r="AB10" s="7" t="n">
        <v>10</v>
      </c>
    </row>
    <row r="11" customFormat="false" ht="15" hidden="false" customHeight="false" outlineLevel="0" collapsed="false">
      <c r="A11" s="7" t="s">
        <v>369</v>
      </c>
      <c r="B11" s="7" t="n">
        <v>400</v>
      </c>
      <c r="C11" s="7" t="n">
        <v>180</v>
      </c>
      <c r="D11" s="7" t="n">
        <v>6</v>
      </c>
      <c r="E11" s="7" t="n">
        <v>12</v>
      </c>
      <c r="AB11" s="7" t="n">
        <v>12</v>
      </c>
    </row>
    <row r="12" customFormat="false" ht="15" hidden="false" customHeight="false" outlineLevel="0" collapsed="false">
      <c r="A12" s="7" t="s">
        <v>370</v>
      </c>
      <c r="B12" s="7" t="n">
        <v>420</v>
      </c>
      <c r="C12" s="7" t="n">
        <v>180</v>
      </c>
      <c r="D12" s="7" t="n">
        <v>6</v>
      </c>
      <c r="E12" s="7" t="n">
        <v>12</v>
      </c>
      <c r="AB12" s="7" t="n">
        <v>15</v>
      </c>
    </row>
    <row r="13" customFormat="false" ht="15" hidden="false" customHeight="false" outlineLevel="0" collapsed="false">
      <c r="A13" s="7" t="s">
        <v>371</v>
      </c>
      <c r="B13" s="7" t="n">
        <v>440</v>
      </c>
      <c r="C13" s="7" t="n">
        <v>180</v>
      </c>
      <c r="D13" s="7" t="n">
        <v>6</v>
      </c>
      <c r="E13" s="7" t="n">
        <v>12</v>
      </c>
      <c r="AB13" s="7" t="n">
        <v>16</v>
      </c>
    </row>
    <row r="14" customFormat="false" ht="15" hidden="false" customHeight="false" outlineLevel="0" collapsed="false">
      <c r="A14" s="7" t="s">
        <v>372</v>
      </c>
      <c r="B14" s="7" t="n">
        <v>200</v>
      </c>
      <c r="C14" s="7" t="n">
        <v>140</v>
      </c>
      <c r="D14" s="7" t="n">
        <v>6</v>
      </c>
      <c r="E14" s="7" t="n">
        <v>12</v>
      </c>
      <c r="AB14" s="7" t="n">
        <v>19</v>
      </c>
    </row>
    <row r="15" customFormat="false" ht="15" hidden="false" customHeight="false" outlineLevel="0" collapsed="false">
      <c r="A15" s="7" t="s">
        <v>373</v>
      </c>
      <c r="B15" s="7" t="n">
        <v>240</v>
      </c>
      <c r="C15" s="7" t="n">
        <v>180</v>
      </c>
      <c r="D15" s="7" t="n">
        <v>6</v>
      </c>
      <c r="E15" s="7" t="n">
        <v>12</v>
      </c>
      <c r="AB15" s="7" t="n">
        <v>20</v>
      </c>
    </row>
    <row r="16" customFormat="false" ht="15" hidden="false" customHeight="false" outlineLevel="0" collapsed="false">
      <c r="A16" s="7" t="s">
        <v>374</v>
      </c>
      <c r="B16" s="7" t="n">
        <v>300</v>
      </c>
      <c r="C16" s="7" t="n">
        <v>180</v>
      </c>
      <c r="D16" s="7" t="n">
        <v>6</v>
      </c>
      <c r="E16" s="7" t="n">
        <v>12</v>
      </c>
      <c r="AB16" s="7" t="n">
        <v>22</v>
      </c>
    </row>
    <row r="17" customFormat="false" ht="15" hidden="false" customHeight="false" outlineLevel="0" collapsed="false">
      <c r="A17" s="7" t="s">
        <v>375</v>
      </c>
      <c r="B17" s="7" t="n">
        <v>360</v>
      </c>
      <c r="C17" s="7" t="n">
        <v>180</v>
      </c>
      <c r="D17" s="7" t="n">
        <v>6</v>
      </c>
      <c r="E17" s="7" t="n">
        <v>12</v>
      </c>
      <c r="AB17" s="7" t="n">
        <v>25</v>
      </c>
    </row>
    <row r="18" customFormat="false" ht="15" hidden="false" customHeight="false" outlineLevel="0" collapsed="false">
      <c r="A18" s="7" t="s">
        <v>376</v>
      </c>
      <c r="B18" s="7" t="n">
        <v>380</v>
      </c>
      <c r="C18" s="7" t="n">
        <v>200</v>
      </c>
      <c r="D18" s="7" t="n">
        <v>8</v>
      </c>
      <c r="E18" s="7" t="n">
        <v>15</v>
      </c>
      <c r="AB18" s="7" t="n">
        <v>28</v>
      </c>
    </row>
    <row r="19" customFormat="false" ht="15" hidden="false" customHeight="false" outlineLevel="0" collapsed="false">
      <c r="A19" s="7" t="s">
        <v>47</v>
      </c>
      <c r="B19" s="7" t="n">
        <v>400</v>
      </c>
      <c r="C19" s="7" t="n">
        <v>200</v>
      </c>
      <c r="D19" s="7" t="n">
        <v>8</v>
      </c>
      <c r="E19" s="7" t="n">
        <v>15</v>
      </c>
      <c r="AB19" s="7" t="n">
        <v>30</v>
      </c>
    </row>
    <row r="20" customFormat="false" ht="15" hidden="false" customHeight="false" outlineLevel="0" collapsed="false">
      <c r="A20" s="7" t="s">
        <v>79</v>
      </c>
      <c r="B20" s="7" t="n">
        <v>420</v>
      </c>
      <c r="C20" s="7" t="n">
        <v>210</v>
      </c>
      <c r="D20" s="7" t="n">
        <v>8</v>
      </c>
      <c r="E20" s="7" t="n">
        <v>15</v>
      </c>
      <c r="AB20" s="7" t="n">
        <v>32</v>
      </c>
    </row>
    <row r="21" customFormat="false" ht="15" hidden="false" customHeight="false" outlineLevel="0" collapsed="false">
      <c r="A21" s="7" t="s">
        <v>377</v>
      </c>
      <c r="B21" s="7" t="n">
        <v>440</v>
      </c>
      <c r="C21" s="7" t="n">
        <v>220</v>
      </c>
      <c r="D21" s="7" t="n">
        <v>8</v>
      </c>
      <c r="E21" s="7" t="n">
        <v>15</v>
      </c>
      <c r="AB21" s="7" t="n">
        <v>35</v>
      </c>
    </row>
    <row r="22" customFormat="false" ht="15" hidden="false" customHeight="false" outlineLevel="0" collapsed="false">
      <c r="A22" s="7" t="s">
        <v>378</v>
      </c>
      <c r="B22" s="7" t="n">
        <v>460</v>
      </c>
      <c r="C22" s="7" t="n">
        <v>230</v>
      </c>
      <c r="D22" s="7" t="n">
        <v>8</v>
      </c>
      <c r="E22" s="7" t="n">
        <v>15</v>
      </c>
      <c r="AB22" s="7" t="n">
        <v>38</v>
      </c>
    </row>
    <row r="23" customFormat="false" ht="15" hidden="false" customHeight="false" outlineLevel="0" collapsed="false">
      <c r="A23" s="7" t="s">
        <v>379</v>
      </c>
      <c r="B23" s="7" t="n">
        <v>480</v>
      </c>
      <c r="C23" s="7" t="n">
        <v>240</v>
      </c>
      <c r="D23" s="7" t="n">
        <v>8</v>
      </c>
      <c r="E23" s="7" t="n">
        <v>15</v>
      </c>
    </row>
    <row r="24" customFormat="false" ht="15" hidden="false" customHeight="false" outlineLevel="0" collapsed="false">
      <c r="A24" s="7" t="s">
        <v>380</v>
      </c>
      <c r="B24" s="7" t="n">
        <v>500</v>
      </c>
      <c r="C24" s="7" t="n">
        <v>250</v>
      </c>
      <c r="D24" s="7" t="n">
        <v>10</v>
      </c>
      <c r="E24" s="7" t="n">
        <v>15</v>
      </c>
    </row>
    <row r="25" customFormat="false" ht="15" hidden="false" customHeight="false" outlineLevel="0" collapsed="false">
      <c r="A25" s="7" t="s">
        <v>381</v>
      </c>
      <c r="B25" s="7" t="n">
        <v>520</v>
      </c>
      <c r="C25" s="7" t="n">
        <v>260</v>
      </c>
      <c r="D25" s="7" t="n">
        <v>10</v>
      </c>
      <c r="E25" s="7" t="n">
        <v>15</v>
      </c>
    </row>
    <row r="26" customFormat="false" ht="15" hidden="false" customHeight="false" outlineLevel="0" collapsed="false">
      <c r="A26" s="7" t="s">
        <v>382</v>
      </c>
      <c r="B26" s="7" t="n">
        <v>540</v>
      </c>
      <c r="C26" s="7" t="n">
        <v>270</v>
      </c>
      <c r="D26" s="7" t="n">
        <v>10</v>
      </c>
      <c r="E26" s="7" t="n">
        <v>15</v>
      </c>
    </row>
    <row r="27" customFormat="false" ht="15" hidden="false" customHeight="false" outlineLevel="0" collapsed="false">
      <c r="A27" s="7" t="s">
        <v>383</v>
      </c>
      <c r="B27" s="7" t="n">
        <v>203</v>
      </c>
      <c r="C27" s="7" t="n">
        <v>203</v>
      </c>
      <c r="D27" s="7" t="n">
        <v>7.2</v>
      </c>
      <c r="E27" s="7" t="n">
        <v>11</v>
      </c>
    </row>
    <row r="28" customFormat="false" ht="15" hidden="false" customHeight="false" outlineLevel="0" collapsed="false">
      <c r="A28" s="7" t="s">
        <v>384</v>
      </c>
      <c r="B28" s="7" t="n">
        <v>254</v>
      </c>
      <c r="C28" s="7" t="n">
        <v>254</v>
      </c>
      <c r="D28" s="7" t="n">
        <v>8.6</v>
      </c>
      <c r="E28" s="7" t="n">
        <v>14.2</v>
      </c>
    </row>
    <row r="29" customFormat="false" ht="15" hidden="false" customHeight="false" outlineLevel="0" collapsed="false">
      <c r="A29" s="7" t="s">
        <v>385</v>
      </c>
      <c r="B29" s="7" t="n">
        <v>308</v>
      </c>
      <c r="C29" s="7" t="n">
        <v>305</v>
      </c>
      <c r="D29" s="7" t="n">
        <v>9.9</v>
      </c>
      <c r="E29" s="7" t="n">
        <v>15.4</v>
      </c>
    </row>
    <row r="30" customFormat="false" ht="15" hidden="false" customHeight="false" outlineLevel="0" collapsed="false">
      <c r="A30" s="7" t="s">
        <v>386</v>
      </c>
      <c r="B30" s="7" t="n">
        <v>356</v>
      </c>
      <c r="C30" s="7" t="n">
        <v>368</v>
      </c>
      <c r="D30" s="7" t="n">
        <v>11.2</v>
      </c>
      <c r="E30" s="7" t="n">
        <v>18</v>
      </c>
    </row>
    <row r="31" customFormat="false" ht="15" hidden="false" customHeight="false" outlineLevel="0" collapsed="false">
      <c r="A31" s="7" t="s">
        <v>387</v>
      </c>
      <c r="B31" s="7" t="n">
        <v>368</v>
      </c>
      <c r="C31" s="7" t="n">
        <v>373</v>
      </c>
      <c r="D31" s="7" t="n">
        <v>15</v>
      </c>
      <c r="E31" s="7" t="n">
        <v>23.9</v>
      </c>
    </row>
    <row r="32" customFormat="false" ht="15" hidden="false" customHeight="false" outlineLevel="0" collapsed="false">
      <c r="A32" s="7" t="s">
        <v>388</v>
      </c>
      <c r="B32" s="7" t="n">
        <v>407</v>
      </c>
      <c r="C32" s="7" t="n">
        <v>178</v>
      </c>
      <c r="D32" s="7" t="n">
        <v>7.7</v>
      </c>
      <c r="E32" s="7" t="n">
        <v>12.8</v>
      </c>
    </row>
    <row r="33" customFormat="false" ht="15" hidden="false" customHeight="false" outlineLevel="0" collapsed="false">
      <c r="A33" s="7" t="s">
        <v>389</v>
      </c>
      <c r="B33" s="7" t="n">
        <v>457</v>
      </c>
      <c r="C33" s="7" t="n">
        <v>190</v>
      </c>
      <c r="D33" s="7" t="n">
        <v>9</v>
      </c>
      <c r="E33" s="7" t="n">
        <v>14.5</v>
      </c>
    </row>
    <row r="34" customFormat="false" ht="15" hidden="false" customHeight="false" outlineLevel="0" collapsed="false">
      <c r="A34" s="7" t="s">
        <v>390</v>
      </c>
      <c r="B34" s="7" t="n">
        <v>533</v>
      </c>
      <c r="C34" s="7" t="n">
        <v>209</v>
      </c>
      <c r="D34" s="7" t="n">
        <v>10.2</v>
      </c>
      <c r="E34" s="7" t="n">
        <v>15.6</v>
      </c>
    </row>
    <row r="35" customFormat="false" ht="15" hidden="false" customHeight="false" outlineLevel="0" collapsed="false">
      <c r="A35" s="7" t="s">
        <v>391</v>
      </c>
      <c r="B35" s="7" t="n">
        <v>608</v>
      </c>
      <c r="C35" s="7" t="n">
        <v>228</v>
      </c>
      <c r="D35" s="7" t="n">
        <v>11.2</v>
      </c>
      <c r="E35" s="7" t="n">
        <v>17.3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0" t="s">
        <v>392</v>
      </c>
    </row>
    <row r="2" customFormat="false" ht="15" hidden="false" customHeight="false" outlineLevel="0" collapsed="false">
      <c r="D2" s="51" t="s">
        <v>393</v>
      </c>
      <c r="G2" s="51" t="s">
        <v>394</v>
      </c>
      <c r="J2" s="51" t="s">
        <v>395</v>
      </c>
      <c r="M2" s="51" t="s">
        <v>396</v>
      </c>
      <c r="P2" s="51" t="s">
        <v>397</v>
      </c>
      <c r="S2" s="51" t="s">
        <v>398</v>
      </c>
      <c r="V2" s="51" t="s">
        <v>399</v>
      </c>
      <c r="Y2" s="51" t="s">
        <v>400</v>
      </c>
      <c r="AB2" s="51" t="s">
        <v>401</v>
      </c>
      <c r="AE2" s="51" t="s">
        <v>402</v>
      </c>
      <c r="AH2" s="51" t="s">
        <v>403</v>
      </c>
      <c r="AK2" s="51" t="s">
        <v>404</v>
      </c>
      <c r="AN2" s="51" t="s">
        <v>405</v>
      </c>
      <c r="AQ2" s="51" t="s">
        <v>406</v>
      </c>
      <c r="AT2" s="51" t="s">
        <v>407</v>
      </c>
      <c r="AW2" s="51" t="s">
        <v>408</v>
      </c>
      <c r="AZ2" s="51" t="s">
        <v>188</v>
      </c>
      <c r="BC2" s="51" t="s">
        <v>409</v>
      </c>
      <c r="BF2" s="51" t="s">
        <v>410</v>
      </c>
      <c r="BI2" s="51" t="s">
        <v>411</v>
      </c>
      <c r="BL2" s="51" t="s">
        <v>403</v>
      </c>
      <c r="BO2" s="51" t="s">
        <v>404</v>
      </c>
    </row>
    <row r="3" customFormat="false" ht="15" hidden="false" customHeight="false" outlineLevel="0" collapsed="false">
      <c r="A3" s="0" t="s">
        <v>412</v>
      </c>
      <c r="B3" s="0" t="n">
        <f aca="false">gap/10+2*(fa_Lec/10+(fa_n-1)*fa_s/10+fa_Lep/10)</f>
        <v>46.3</v>
      </c>
    </row>
    <row r="4" customFormat="false" ht="15" hidden="false" customHeight="false" outlineLevel="0" collapsed="false">
      <c r="A4" s="0" t="s">
        <v>413</v>
      </c>
      <c r="B4" s="0" t="n">
        <f aca="false">gap/10+2*(wa_Le/10+(wa_nr-1)*wa_sv/10+wa_Le/10)</f>
        <v>31.3</v>
      </c>
      <c r="D4" s="0" t="n">
        <f aca="false">(((l_d/2))-(0))/dSe</f>
        <v>0.500625782227785</v>
      </c>
      <c r="E4" s="0" t="n">
        <f aca="false">((-dH)-(0))/dSe</f>
        <v>-0.952380952380952</v>
      </c>
      <c r="G4" s="0" t="n">
        <f aca="false">(((u_d/2))-(0))/dSe</f>
        <v>0.476786459264557</v>
      </c>
      <c r="H4" s="0" t="n">
        <f aca="false">((dH)-(0))/dSe</f>
        <v>0.952380952380952</v>
      </c>
      <c r="J4" s="0" t="n">
        <f aca="false">(((dxp))-(0))/dSe</f>
        <v>0.500625782227785</v>
      </c>
      <c r="K4" s="0" t="n">
        <f aca="false">((-dLp/2*t_ap)-(0))/dSe</f>
        <v>-0.551880326598725</v>
      </c>
      <c r="M4" s="0" t="n">
        <f aca="false">(((u_d/2))-(0))/dSe</f>
        <v>0.476786459264557</v>
      </c>
      <c r="N4" s="0" t="n">
        <f aca="false">((dg2)-(0))/dSe</f>
        <v>0.00476786459264557</v>
      </c>
      <c r="P4" s="0" t="n">
        <f aca="false">((-(l_d/2))-(0))/dSe</f>
        <v>-0.500625782227785</v>
      </c>
      <c r="Q4" s="0" t="n">
        <f aca="false">((-dH)-(0))/dSe</f>
        <v>-0.952380952380952</v>
      </c>
      <c r="S4" s="0" t="n">
        <f aca="false">((-(u_d/2))-(0))/dSe</f>
        <v>-0.476786459264557</v>
      </c>
      <c r="T4" s="0" t="n">
        <f aca="false">((dH)-(0))/dSe</f>
        <v>0.952380952380952</v>
      </c>
      <c r="V4" s="0" t="n">
        <f aca="false">((-(dxp))-(0))/dSe</f>
        <v>-0.500625782227785</v>
      </c>
      <c r="W4" s="0" t="n">
        <f aca="false">((-dLp/2*t_ap)-(0))/dSe</f>
        <v>-0.551880326598725</v>
      </c>
      <c r="Y4" s="0" t="n">
        <f aca="false">((-(u_d/2))-(0))/dSe</f>
        <v>-0.476786459264557</v>
      </c>
      <c r="Z4" s="0" t="n">
        <f aca="false">((dg2)-(0))/dSe</f>
        <v>0.00476786459264557</v>
      </c>
      <c r="AB4" s="0" t="n">
        <f aca="false">((-pw_b/20*t_ap)-(0))/dSe</f>
        <v>-0.238393229632278</v>
      </c>
      <c r="AC4" s="0" t="n">
        <f aca="false">((-dLw/2*t_ap)-(0))/dSe</f>
        <v>-0.373085404374516</v>
      </c>
      <c r="AE4" s="0" t="n">
        <f aca="false">((-u_d/2*(1-t_ap))-(0))/dSe</f>
        <v>-0</v>
      </c>
      <c r="AF4" s="0" t="n">
        <f aca="false">((0)-(0))/dSe</f>
        <v>0</v>
      </c>
      <c r="AH4" s="0" t="n">
        <f aca="false">((IF(t_ap=1,(dxp),99))-(0))/dSe</f>
        <v>0.500625782227785</v>
      </c>
      <c r="AI4" s="0" t="n">
        <f aca="false">(((gap/20+fa_Lec/10+fa_s/10*MIN(0,fa_n-1)))-(0))/dSe</f>
        <v>0.0989331902973956</v>
      </c>
      <c r="AK4" s="0" t="n">
        <f aca="false">((IF(t_ap=1,-(wa_nc-1)*wa_sh/20+wa_sh/10*MIN(0,wa_nc-1),99))-(0))/dSe</f>
        <v>-0.119196614816139</v>
      </c>
      <c r="AL4" s="0" t="n">
        <f aca="false">(((gap/20+wa_Le/10+wa_sv/10*MIN(0,wa_nr-1)))-(0))/dSe</f>
        <v>0.0989331902973956</v>
      </c>
      <c r="AN4" s="0" t="n">
        <f aca="false">((-l_d/2)-(0))/dSs</f>
        <v>-0.844594594594595</v>
      </c>
      <c r="AO4" s="0" t="n">
        <f aca="false">((-l_bf/2)-(0))/dSs</f>
        <v>-0.422297297297297</v>
      </c>
      <c r="AQ4" s="0" t="n">
        <f aca="false">((-u_d/2)-(0))/dSs</f>
        <v>-0.804375804375804</v>
      </c>
      <c r="AR4" s="0" t="n">
        <f aca="false">((-u_bf/2)-(0))/dSs</f>
        <v>-0.402187902187902</v>
      </c>
      <c r="AT4" s="0" t="n">
        <f aca="false">(((dxp))-(0))/dSs</f>
        <v>0.844594594594595</v>
      </c>
      <c r="AU4" s="0" t="n">
        <f aca="false">((-pf_b/20*t_ap)-(0))/dSs</f>
        <v>-0.361969111969112</v>
      </c>
      <c r="AW4" s="0" t="n">
        <f aca="false">(((u_d/2))-(0))/dSs</f>
        <v>0.804375804375804</v>
      </c>
      <c r="AX4" s="0" t="n">
        <f aca="false">((-pf_b/20*t_ap)-(0))/dSs</f>
        <v>-0.361969111969112</v>
      </c>
      <c r="AZ4" s="0" t="n">
        <f aca="false">((-pw_b/20*t_ap)-(0))/dSs</f>
        <v>-0.402187902187902</v>
      </c>
      <c r="BA4" s="0" t="n">
        <f aca="false">(((u_tw/2))-(0))/dSs</f>
        <v>0.0160875160875161</v>
      </c>
      <c r="BC4" s="0" t="n">
        <f aca="false">((-(dxp))-(0))/dSs</f>
        <v>-0.844594594594595</v>
      </c>
      <c r="BD4" s="0" t="n">
        <f aca="false">((-pf_b/20*t_ap)-(0))/dSs</f>
        <v>-0.361969111969112</v>
      </c>
      <c r="BF4" s="0" t="n">
        <f aca="false">((-(u_d/2))-(0))/dSs</f>
        <v>-0.804375804375804</v>
      </c>
      <c r="BG4" s="0" t="n">
        <f aca="false">((-pf_b/20*t_ap)-(0))/dSs</f>
        <v>-0.361969111969112</v>
      </c>
      <c r="BI4" s="0" t="n">
        <f aca="false">((-pw_b/20*t_ap)-(0))/dSs</f>
        <v>-0.402187902187902</v>
      </c>
      <c r="BJ4" s="0" t="n">
        <f aca="false">((-(u_tw/2))-(0))/dSs</f>
        <v>-0.0160875160875161</v>
      </c>
      <c r="BL4" s="0" t="n">
        <f aca="false">((IF(t_ap=1,(u_d/2),99))-(0))/dSs</f>
        <v>0.804375804375804</v>
      </c>
      <c r="BM4" s="0" t="n">
        <f aca="false">(((fa_g/20))-(0))/dSs</f>
        <v>0.221203346203346</v>
      </c>
      <c r="BO4" s="0" t="n">
        <f aca="false">((IF(t_ap=1,-(wa_nc-1)*wa_sh/20+wa_sh/10*MIN(0,wa_nc-1),99))-(0))/dSs</f>
        <v>-0.201093951093951</v>
      </c>
      <c r="BP4" s="0" t="n">
        <f aca="false">((0)-(0))/dSs</f>
        <v>0</v>
      </c>
    </row>
    <row r="5" customFormat="false" ht="15" hidden="false" customHeight="false" outlineLevel="0" collapsed="false">
      <c r="A5" s="0" t="s">
        <v>414</v>
      </c>
      <c r="B5" s="0" t="n">
        <f aca="false">MAX(dLp,dLw)/2+0.4*MAX(u_d,l_d)</f>
        <v>39.95</v>
      </c>
      <c r="D5" s="0" t="n">
        <f aca="false">(((l_d/2))-(0))/dSe</f>
        <v>0.500625782227785</v>
      </c>
      <c r="E5" s="0" t="n">
        <f aca="false">((-dg2)-(0))/dSe</f>
        <v>-0.00476786459264557</v>
      </c>
      <c r="G5" s="0" t="n">
        <f aca="false">(((u_d/2))-(0))/dSe</f>
        <v>0.476786459264557</v>
      </c>
      <c r="H5" s="0" t="n">
        <f aca="false">((dg2)-(0))/dSe</f>
        <v>0.00476786459264557</v>
      </c>
      <c r="J5" s="0" t="n">
        <f aca="false">(((dxp))-(0))/dSe</f>
        <v>0.500625782227785</v>
      </c>
      <c r="K5" s="0" t="n">
        <f aca="false">((dLp/2*t_ap)-(0))/dSe</f>
        <v>0.551880326598725</v>
      </c>
      <c r="M5" s="0" t="n">
        <f aca="false">(((u_d/2))-(0))/dSe</f>
        <v>0.476786459264557</v>
      </c>
      <c r="N5" s="0" t="n">
        <f aca="false">((dLp/2*t_ap+dg2*(1-t_ap))-(0))/dSe</f>
        <v>0.551880326598725</v>
      </c>
      <c r="P5" s="0" t="n">
        <f aca="false">((-(l_d/2))-(0))/dSe</f>
        <v>-0.500625782227785</v>
      </c>
      <c r="Q5" s="0" t="n">
        <f aca="false">((-dg2)-(0))/dSe</f>
        <v>-0.00476786459264557</v>
      </c>
      <c r="S5" s="0" t="n">
        <f aca="false">((-(u_d/2))-(0))/dSe</f>
        <v>-0.476786459264557</v>
      </c>
      <c r="T5" s="0" t="n">
        <f aca="false">((dg2)-(0))/dSe</f>
        <v>0.00476786459264557</v>
      </c>
      <c r="V5" s="0" t="n">
        <f aca="false">((-(dxp))-(0))/dSe</f>
        <v>-0.500625782227785</v>
      </c>
      <c r="W5" s="0" t="n">
        <f aca="false">((dLp/2*t_ap)-(0))/dSe</f>
        <v>0.551880326598725</v>
      </c>
      <c r="Y5" s="0" t="n">
        <f aca="false">((-(u_d/2))-(0))/dSe</f>
        <v>-0.476786459264557</v>
      </c>
      <c r="Z5" s="0" t="n">
        <f aca="false">((dLp/2*t_ap+dg2*(1-t_ap))-(0))/dSe</f>
        <v>0.551880326598725</v>
      </c>
      <c r="AB5" s="0" t="n">
        <f aca="false">((-pw_b/20*t_ap)-(0))/dSe</f>
        <v>-0.238393229632278</v>
      </c>
      <c r="AC5" s="0" t="n">
        <f aca="false">((dLw/2*t_ap)-(0))/dSe</f>
        <v>0.373085404374516</v>
      </c>
      <c r="AE5" s="0" t="n">
        <f aca="false">((u_d/2*(1-t_ap))-(0))/dSe</f>
        <v>0</v>
      </c>
      <c r="AF5" s="0" t="n">
        <f aca="false">((0)-(0))/dSe</f>
        <v>0</v>
      </c>
      <c r="AH5" s="0" t="n">
        <f aca="false">((IF(t_ap=1,(dxp),99))-(0))/dSe</f>
        <v>0.500625782227785</v>
      </c>
      <c r="AI5" s="0" t="n">
        <f aca="false">(((gap/20+fa_Lec/10+fa_s/10*MIN(1,fa_n-1)))-(0))/dSe</f>
        <v>0.277728112521604</v>
      </c>
      <c r="AK5" s="0" t="n">
        <f aca="false">((IF(t_ap=1,-(wa_nc-1)*wa_sh/20+wa_sh/10*MIN(0,wa_nc-1),99))-(0))/dSe</f>
        <v>-0.119196614816139</v>
      </c>
      <c r="AL5" s="0" t="n">
        <f aca="false">(((gap/20+wa_Le/10+wa_sv/10*MIN(1,wa_nr-1)))-(0))/dSe</f>
        <v>0.277728112521604</v>
      </c>
      <c r="AN5" s="0" t="n">
        <f aca="false">((-l_d/2)-(0))/dSs</f>
        <v>-0.844594594594595</v>
      </c>
      <c r="AO5" s="0" t="n">
        <f aca="false">((l_bf/2)-(0))/dSs</f>
        <v>0.422297297297297</v>
      </c>
      <c r="AQ5" s="0" t="n">
        <f aca="false">((-u_d/2)-(0))/dSs</f>
        <v>-0.804375804375804</v>
      </c>
      <c r="AR5" s="0" t="n">
        <f aca="false">((u_bf/2)-(0))/dSs</f>
        <v>0.402187902187902</v>
      </c>
      <c r="AT5" s="0" t="n">
        <f aca="false">(((dxp))-(0))/dSs</f>
        <v>0.844594594594595</v>
      </c>
      <c r="AU5" s="0" t="n">
        <f aca="false">((pf_b/20*t_ap)-(0))/dSs</f>
        <v>0.361969111969112</v>
      </c>
      <c r="AW5" s="0" t="n">
        <f aca="false">(((u_d/2))-(0))/dSs</f>
        <v>0.804375804375804</v>
      </c>
      <c r="AX5" s="0" t="n">
        <f aca="false">((pf_b/20*t_ap)-(0))/dSs</f>
        <v>0.361969111969112</v>
      </c>
      <c r="AZ5" s="0" t="n">
        <f aca="false">((-pw_b/20*t_ap)-(0))/dSs</f>
        <v>-0.402187902187902</v>
      </c>
      <c r="BA5" s="0" t="n">
        <f aca="false">(((u_tw/2+pw_t/10*t_ap))-(0))/dSs</f>
        <v>0.0482625482625483</v>
      </c>
      <c r="BC5" s="0" t="n">
        <f aca="false">((-(dxp))-(0))/dSs</f>
        <v>-0.844594594594595</v>
      </c>
      <c r="BD5" s="0" t="n">
        <f aca="false">((pf_b/20*t_ap)-(0))/dSs</f>
        <v>0.361969111969112</v>
      </c>
      <c r="BF5" s="0" t="n">
        <f aca="false">((-(u_d/2))-(0))/dSs</f>
        <v>-0.804375804375804</v>
      </c>
      <c r="BG5" s="0" t="n">
        <f aca="false">((pf_b/20*t_ap)-(0))/dSs</f>
        <v>0.361969111969112</v>
      </c>
      <c r="BI5" s="0" t="n">
        <f aca="false">((-pw_b/20*t_ap)-(0))/dSs</f>
        <v>-0.402187902187902</v>
      </c>
      <c r="BJ5" s="0" t="n">
        <f aca="false">((-(u_tw/2+pw_t/10*t_ap))-(0))/dSs</f>
        <v>-0.0482625482625483</v>
      </c>
      <c r="BL5" s="0" t="n">
        <f aca="false">((IF(t_ap=1,(u_d/2),99))-(0))/dSs</f>
        <v>0.804375804375804</v>
      </c>
      <c r="BM5" s="0" t="n">
        <f aca="false">((-(fa_g/20))-(0))/dSs</f>
        <v>-0.221203346203346</v>
      </c>
      <c r="BO5" s="0" t="n">
        <f aca="false">((IF(t_ap=1,-(wa_nc-1)*wa_sh/20+wa_sh/10*MIN(1,wa_nc-1),99))-(0))/dSs</f>
        <v>0.201093951093951</v>
      </c>
      <c r="BP5" s="0" t="n">
        <f aca="false">((0)-(0))/dSs</f>
        <v>0</v>
      </c>
    </row>
    <row r="6" customFormat="false" ht="15" hidden="false" customHeight="false" outlineLevel="0" collapsed="false">
      <c r="A6" s="0" t="s">
        <v>415</v>
      </c>
      <c r="B6" s="0" t="n">
        <f aca="false">MAX(2*dH,MAX(u_d,l_d)+2*pf_t/10)/2*1.05</f>
        <v>41.9475</v>
      </c>
      <c r="D6" s="0" t="n">
        <f aca="false">(((l_d/2-l_tf))-(0))/dSe</f>
        <v>0.464866797782943</v>
      </c>
      <c r="E6" s="0" t="n">
        <f aca="false">((-dg2)-(0))/dSe</f>
        <v>-0.00476786459264557</v>
      </c>
      <c r="G6" s="0" t="n">
        <f aca="false">(((u_d/2-u_tf))-(0))/dSe</f>
        <v>0.441027474819715</v>
      </c>
      <c r="H6" s="0" t="n">
        <f aca="false">((dg2)-(0))/dSe</f>
        <v>0.00476786459264557</v>
      </c>
      <c r="J6" s="0" t="n">
        <f aca="false">(((dxp+pf_t/10*t_ap))-(0))/dSe</f>
        <v>0.529232969783658</v>
      </c>
      <c r="K6" s="0" t="n">
        <f aca="false">((dLp/2*t_ap)-(0))/dSe</f>
        <v>0.551880326598725</v>
      </c>
      <c r="M6" s="0" t="n">
        <f aca="false">(((u_d/2+(l_d-u_d)/2*t_ap))-(0))/dSe</f>
        <v>0.500625782227785</v>
      </c>
      <c r="N6" s="0" t="n">
        <f aca="false">((dLp/2*t_ap+dg2*(1-t_ap))-(0))/dSe</f>
        <v>0.551880326598725</v>
      </c>
      <c r="P6" s="0" t="n">
        <f aca="false">((-(l_d/2-l_tf))-(0))/dSe</f>
        <v>-0.464866797782943</v>
      </c>
      <c r="Q6" s="0" t="n">
        <f aca="false">((-dg2)-(0))/dSe</f>
        <v>-0.00476786459264557</v>
      </c>
      <c r="S6" s="0" t="n">
        <f aca="false">((-(u_d/2-u_tf))-(0))/dSe</f>
        <v>-0.441027474819715</v>
      </c>
      <c r="T6" s="0" t="n">
        <f aca="false">((dg2)-(0))/dSe</f>
        <v>0.00476786459264557</v>
      </c>
      <c r="V6" s="0" t="n">
        <f aca="false">((-(dxp+pf_t/10*t_ap))-(0))/dSe</f>
        <v>-0.529232969783658</v>
      </c>
      <c r="W6" s="0" t="n">
        <f aca="false">((dLp/2*t_ap)-(0))/dSe</f>
        <v>0.551880326598725</v>
      </c>
      <c r="Y6" s="0" t="n">
        <f aca="false">((-(u_d/2+(l_d-u_d)/2*t_ap))-(0))/dSe</f>
        <v>-0.500625782227785</v>
      </c>
      <c r="Z6" s="0" t="n">
        <f aca="false">((dLp/2*t_ap+dg2*(1-t_ap))-(0))/dSe</f>
        <v>0.551880326598725</v>
      </c>
      <c r="AB6" s="0" t="n">
        <f aca="false">((pw_b/20*t_ap)-(0))/dSe</f>
        <v>0.238393229632278</v>
      </c>
      <c r="AC6" s="0" t="n">
        <f aca="false">((dLw/2*t_ap)-(0))/dSe</f>
        <v>0.373085404374516</v>
      </c>
      <c r="AH6" s="0" t="n">
        <f aca="false">((IF(t_ap=1,(dxp),99))-(0))/dSe</f>
        <v>0.500625782227785</v>
      </c>
      <c r="AI6" s="0" t="n">
        <f aca="false">(((gap/20+fa_Lec/10+fa_s/10*MIN(2,fa_n-1)))-(0))/dSe</f>
        <v>0.456523034745813</v>
      </c>
      <c r="AK6" s="0" t="n">
        <f aca="false">((IF(t_ap=1,-(wa_nc-1)*wa_sh/20+wa_sh/10*MIN(0,wa_nc-1),99))-(0))/dSe</f>
        <v>-0.119196614816139</v>
      </c>
      <c r="AL6" s="0" t="n">
        <f aca="false">(((gap/20+wa_Le/10+wa_sv/10*MIN(2,wa_nr-1)))-(0))/dSe</f>
        <v>0.277728112521604</v>
      </c>
      <c r="AN6" s="0" t="n">
        <f aca="false">((-l_d/2+l_tf)-(0))/dSs</f>
        <v>-0.784266409266409</v>
      </c>
      <c r="AO6" s="0" t="n">
        <f aca="false">((l_bf/2)-(0))/dSs</f>
        <v>0.422297297297297</v>
      </c>
      <c r="AQ6" s="0" t="n">
        <f aca="false">((-u_d/2+u_tf)-(0))/dSs</f>
        <v>-0.744047619047619</v>
      </c>
      <c r="AR6" s="0" t="n">
        <f aca="false">((u_bf/2)-(0))/dSs</f>
        <v>0.402187902187902</v>
      </c>
      <c r="AT6" s="0" t="n">
        <f aca="false">(((dxp+pf_t/10*t_ap))-(0))/dSs</f>
        <v>0.892857142857143</v>
      </c>
      <c r="AU6" s="0" t="n">
        <f aca="false">((pf_b/20*t_ap)-(0))/dSs</f>
        <v>0.361969111969112</v>
      </c>
      <c r="AW6" s="0" t="n">
        <f aca="false">(((u_d/2+(l_d-u_d)/2*t_ap))-(0))/dSs</f>
        <v>0.844594594594595</v>
      </c>
      <c r="AX6" s="0" t="n">
        <f aca="false">((pf_b/20*t_ap)-(0))/dSs</f>
        <v>0.361969111969112</v>
      </c>
      <c r="AZ6" s="0" t="n">
        <f aca="false">((pw_b/20*t_ap)-(0))/dSs</f>
        <v>0.402187902187902</v>
      </c>
      <c r="BA6" s="0" t="n">
        <f aca="false">(((u_tw/2+pw_t/10*t_ap))-(0))/dSs</f>
        <v>0.0482625482625483</v>
      </c>
      <c r="BC6" s="0" t="n">
        <f aca="false">((-(dxp+pf_t/10*t_ap))-(0))/dSs</f>
        <v>-0.892857142857143</v>
      </c>
      <c r="BD6" s="0" t="n">
        <f aca="false">((pf_b/20*t_ap)-(0))/dSs</f>
        <v>0.361969111969112</v>
      </c>
      <c r="BF6" s="0" t="n">
        <f aca="false">((-(u_d/2+(l_d-u_d)/2*t_ap))-(0))/dSs</f>
        <v>-0.844594594594595</v>
      </c>
      <c r="BG6" s="0" t="n">
        <f aca="false">((pf_b/20*t_ap)-(0))/dSs</f>
        <v>0.361969111969112</v>
      </c>
      <c r="BI6" s="0" t="n">
        <f aca="false">((pw_b/20*t_ap)-(0))/dSs</f>
        <v>0.402187902187902</v>
      </c>
      <c r="BJ6" s="0" t="n">
        <f aca="false">((-(u_tw/2+pw_t/10*t_ap))-(0))/dSs</f>
        <v>-0.0482625482625483</v>
      </c>
      <c r="BL6" s="0" t="n">
        <f aca="false">((IF(t_ap=1,-(u_d/2),99))-(0))/dSs</f>
        <v>-0.804375804375804</v>
      </c>
      <c r="BM6" s="0" t="n">
        <f aca="false">(((fa_g/20))-(0))/dSs</f>
        <v>0.221203346203346</v>
      </c>
      <c r="BO6" s="0" t="n">
        <f aca="false">((IF(t_ap=1,-(wa_nc-1)*wa_sh/20+wa_sh/10*MIN(2,wa_nc-1),99))-(0))/dSs</f>
        <v>0.201093951093951</v>
      </c>
      <c r="BP6" s="0" t="n">
        <f aca="false">((0)-(0))/dSs</f>
        <v>0</v>
      </c>
    </row>
    <row r="7" customFormat="false" ht="15" hidden="false" customHeight="false" outlineLevel="0" collapsed="false">
      <c r="A7" s="0" t="s">
        <v>416</v>
      </c>
      <c r="B7" s="0" t="n">
        <f aca="false">MAX(MAX(u_d,l_d)+2*pf_t/10,MAX(u_bf,l_bf))/2*1.12</f>
        <v>24.864</v>
      </c>
      <c r="D7" s="0" t="n">
        <f aca="false">(((l_d/2-l_tf))-(0))/dSe</f>
        <v>0.464866797782943</v>
      </c>
      <c r="E7" s="0" t="n">
        <f aca="false">((-dH)-(0))/dSe</f>
        <v>-0.952380952380952</v>
      </c>
      <c r="G7" s="0" t="n">
        <f aca="false">(((u_d/2-u_tf))-(0))/dSe</f>
        <v>0.441027474819715</v>
      </c>
      <c r="H7" s="0" t="n">
        <f aca="false">((dH)-(0))/dSe</f>
        <v>0.952380952380952</v>
      </c>
      <c r="J7" s="0" t="n">
        <f aca="false">(((dxp+pf_t/10*t_ap))-(0))/dSe</f>
        <v>0.529232969783658</v>
      </c>
      <c r="K7" s="0" t="n">
        <f aca="false">((-dLp/2*t_ap)-(0))/dSe</f>
        <v>-0.551880326598725</v>
      </c>
      <c r="M7" s="0" t="n">
        <f aca="false">(((u_d/2+(l_d-u_d)/2*t_ap))-(0))/dSe</f>
        <v>0.500625782227785</v>
      </c>
      <c r="N7" s="0" t="n">
        <f aca="false">((dg2)-(0))/dSe</f>
        <v>0.00476786459264557</v>
      </c>
      <c r="P7" s="0" t="n">
        <f aca="false">((-(l_d/2-l_tf))-(0))/dSe</f>
        <v>-0.464866797782943</v>
      </c>
      <c r="Q7" s="0" t="n">
        <f aca="false">((-dH)-(0))/dSe</f>
        <v>-0.952380952380952</v>
      </c>
      <c r="S7" s="0" t="n">
        <f aca="false">((-(u_d/2-u_tf))-(0))/dSe</f>
        <v>-0.441027474819715</v>
      </c>
      <c r="T7" s="0" t="n">
        <f aca="false">((dH)-(0))/dSe</f>
        <v>0.952380952380952</v>
      </c>
      <c r="V7" s="0" t="n">
        <f aca="false">((-(dxp+pf_t/10*t_ap))-(0))/dSe</f>
        <v>-0.529232969783658</v>
      </c>
      <c r="W7" s="0" t="n">
        <f aca="false">((-dLp/2*t_ap)-(0))/dSe</f>
        <v>-0.551880326598725</v>
      </c>
      <c r="Y7" s="0" t="n">
        <f aca="false">((-(u_d/2+(l_d-u_d)/2*t_ap))-(0))/dSe</f>
        <v>-0.500625782227785</v>
      </c>
      <c r="Z7" s="0" t="n">
        <f aca="false">((dg2)-(0))/dSe</f>
        <v>0.00476786459264557</v>
      </c>
      <c r="AB7" s="0" t="n">
        <f aca="false">((pw_b/20*t_ap)-(0))/dSe</f>
        <v>0.238393229632278</v>
      </c>
      <c r="AC7" s="0" t="n">
        <f aca="false">((-dLw/2*t_ap)-(0))/dSe</f>
        <v>-0.373085404374516</v>
      </c>
      <c r="AH7" s="0" t="n">
        <f aca="false">((IF(t_ap=1,(dxp),99))-(0))/dSe</f>
        <v>0.500625782227785</v>
      </c>
      <c r="AI7" s="0" t="n">
        <f aca="false">(((gap/20+fa_Lec/10+fa_s/10*MIN(3,fa_n-1)))-(0))/dSe</f>
        <v>0.456523034745813</v>
      </c>
      <c r="AK7" s="0" t="n">
        <f aca="false">((IF(t_ap=1,-(wa_nc-1)*wa_sh/20+wa_sh/10*MIN(0,wa_nc-1),99))-(0))/dSe</f>
        <v>-0.119196614816139</v>
      </c>
      <c r="AL7" s="0" t="n">
        <f aca="false">(((gap/20+wa_Le/10+wa_sv/10*MIN(3,wa_nr-1)))-(0))/dSe</f>
        <v>0.277728112521604</v>
      </c>
      <c r="AN7" s="0" t="n">
        <f aca="false">((-l_d/2+l_tf)-(0))/dSs</f>
        <v>-0.784266409266409</v>
      </c>
      <c r="AO7" s="0" t="n">
        <f aca="false">((l_tw/2)-(0))/dSs</f>
        <v>0.0160875160875161</v>
      </c>
      <c r="AQ7" s="0" t="n">
        <f aca="false">((-u_d/2+u_tf)-(0))/dSs</f>
        <v>-0.744047619047619</v>
      </c>
      <c r="AR7" s="0" t="n">
        <f aca="false">((u_tw/2)-(0))/dSs</f>
        <v>0.0160875160875161</v>
      </c>
      <c r="AT7" s="0" t="n">
        <f aca="false">(((dxp+pf_t/10*t_ap))-(0))/dSs</f>
        <v>0.892857142857143</v>
      </c>
      <c r="AU7" s="0" t="n">
        <f aca="false">((-pf_b/20*t_ap)-(0))/dSs</f>
        <v>-0.361969111969112</v>
      </c>
      <c r="AW7" s="0" t="n">
        <f aca="false">(((u_d/2+(l_d-u_d)/2*t_ap))-(0))/dSs</f>
        <v>0.844594594594595</v>
      </c>
      <c r="AX7" s="0" t="n">
        <f aca="false">((-pf_b/20*t_ap)-(0))/dSs</f>
        <v>-0.361969111969112</v>
      </c>
      <c r="AZ7" s="0" t="n">
        <f aca="false">((pw_b/20*t_ap)-(0))/dSs</f>
        <v>0.402187902187902</v>
      </c>
      <c r="BA7" s="0" t="n">
        <f aca="false">(((u_tw/2))-(0))/dSs</f>
        <v>0.0160875160875161</v>
      </c>
      <c r="BC7" s="0" t="n">
        <f aca="false">((-(dxp+pf_t/10*t_ap))-(0))/dSs</f>
        <v>-0.892857142857143</v>
      </c>
      <c r="BD7" s="0" t="n">
        <f aca="false">((-pf_b/20*t_ap)-(0))/dSs</f>
        <v>-0.361969111969112</v>
      </c>
      <c r="BF7" s="0" t="n">
        <f aca="false">((-(u_d/2+(l_d-u_d)/2*t_ap))-(0))/dSs</f>
        <v>-0.844594594594595</v>
      </c>
      <c r="BG7" s="0" t="n">
        <f aca="false">((-pf_b/20*t_ap)-(0))/dSs</f>
        <v>-0.361969111969112</v>
      </c>
      <c r="BI7" s="0" t="n">
        <f aca="false">((pw_b/20*t_ap)-(0))/dSs</f>
        <v>0.402187902187902</v>
      </c>
      <c r="BJ7" s="0" t="n">
        <f aca="false">((-(u_tw/2))-(0))/dSs</f>
        <v>-0.0160875160875161</v>
      </c>
      <c r="BL7" s="0" t="n">
        <f aca="false">((IF(t_ap=1,-(u_d/2),99))-(0))/dSs</f>
        <v>-0.804375804375804</v>
      </c>
      <c r="BM7" s="0" t="n">
        <f aca="false">((-(fa_g/20))-(0))/dSs</f>
        <v>-0.221203346203346</v>
      </c>
    </row>
    <row r="8" customFormat="false" ht="15" hidden="false" customHeight="false" outlineLevel="0" collapsed="false">
      <c r="A8" s="0" t="s">
        <v>417</v>
      </c>
      <c r="B8" s="0" t="n">
        <f aca="false">MAX(gap/20,0.2)</f>
        <v>0.2</v>
      </c>
      <c r="J8" s="0" t="n">
        <f aca="false">(((dxp))-(0))/dSe</f>
        <v>0.500625782227785</v>
      </c>
      <c r="K8" s="0" t="n">
        <f aca="false">((-dLp/2*t_ap)-(0))/dSe</f>
        <v>-0.551880326598725</v>
      </c>
      <c r="M8" s="0" t="n">
        <f aca="false">(((u_d/2))-(0))/dSe</f>
        <v>0.476786459264557</v>
      </c>
      <c r="N8" s="0" t="n">
        <f aca="false">((dg2)-(0))/dSe</f>
        <v>0.00476786459264557</v>
      </c>
      <c r="V8" s="0" t="n">
        <f aca="false">((-(dxp))-(0))/dSe</f>
        <v>-0.500625782227785</v>
      </c>
      <c r="W8" s="0" t="n">
        <f aca="false">((-dLp/2*t_ap)-(0))/dSe</f>
        <v>-0.551880326598725</v>
      </c>
      <c r="Y8" s="0" t="n">
        <f aca="false">((-(u_d/2))-(0))/dSe</f>
        <v>-0.476786459264557</v>
      </c>
      <c r="Z8" s="0" t="n">
        <f aca="false">((dg2)-(0))/dSe</f>
        <v>0.00476786459264557</v>
      </c>
      <c r="AB8" s="0" t="n">
        <f aca="false">((-pw_b/20*t_ap)-(0))/dSe</f>
        <v>-0.238393229632278</v>
      </c>
      <c r="AC8" s="0" t="n">
        <f aca="false">((-dLw/2*t_ap)-(0))/dSe</f>
        <v>-0.373085404374516</v>
      </c>
      <c r="AH8" s="0" t="n">
        <f aca="false">((IF(t_ap=1,(dxp),99))-(0))/dSe</f>
        <v>0.500625782227785</v>
      </c>
      <c r="AI8" s="0" t="n">
        <f aca="false">(((gap/20+fa_Lec/10+fa_s/10*MIN(4,fa_n-1)))-(0))/dSe</f>
        <v>0.456523034745813</v>
      </c>
      <c r="AK8" s="0" t="n">
        <f aca="false">((IF(t_ap=1,-(wa_nc-1)*wa_sh/20+wa_sh/10*MIN(0,wa_nc-1),99))-(0))/dSe</f>
        <v>-0.119196614816139</v>
      </c>
      <c r="AL8" s="0" t="n">
        <f aca="false">(((gap/20+wa_Le/10+wa_sv/10*MIN(4,wa_nr-1)))-(0))/dSe</f>
        <v>0.277728112521604</v>
      </c>
      <c r="AN8" s="0" t="n">
        <f aca="false">((l_d/2-l_tf)-(0))/dSs</f>
        <v>0.784266409266409</v>
      </c>
      <c r="AO8" s="0" t="n">
        <f aca="false">((l_tw/2)-(0))/dSs</f>
        <v>0.0160875160875161</v>
      </c>
      <c r="AQ8" s="0" t="n">
        <f aca="false">((u_d/2-u_tf)-(0))/dSs</f>
        <v>0.744047619047619</v>
      </c>
      <c r="AR8" s="0" t="n">
        <f aca="false">((u_tw/2)-(0))/dSs</f>
        <v>0.0160875160875161</v>
      </c>
      <c r="AT8" s="0" t="n">
        <f aca="false">(((dxp))-(0))/dSs</f>
        <v>0.844594594594595</v>
      </c>
      <c r="AU8" s="0" t="n">
        <f aca="false">((-pf_b/20*t_ap)-(0))/dSs</f>
        <v>-0.361969111969112</v>
      </c>
      <c r="AW8" s="0" t="n">
        <f aca="false">(((u_d/2))-(0))/dSs</f>
        <v>0.804375804375804</v>
      </c>
      <c r="AX8" s="0" t="n">
        <f aca="false">((-pf_b/20*t_ap)-(0))/dSs</f>
        <v>-0.361969111969112</v>
      </c>
      <c r="AZ8" s="0" t="n">
        <f aca="false">((-pw_b/20*t_ap)-(0))/dSs</f>
        <v>-0.402187902187902</v>
      </c>
      <c r="BA8" s="0" t="n">
        <f aca="false">(((u_tw/2))-(0))/dSs</f>
        <v>0.0160875160875161</v>
      </c>
      <c r="BC8" s="0" t="n">
        <f aca="false">((-(dxp))-(0))/dSs</f>
        <v>-0.844594594594595</v>
      </c>
      <c r="BD8" s="0" t="n">
        <f aca="false">((-pf_b/20*t_ap)-(0))/dSs</f>
        <v>-0.361969111969112</v>
      </c>
      <c r="BF8" s="0" t="n">
        <f aca="false">((-(u_d/2))-(0))/dSs</f>
        <v>-0.804375804375804</v>
      </c>
      <c r="BG8" s="0" t="n">
        <f aca="false">((-pf_b/20*t_ap)-(0))/dSs</f>
        <v>-0.361969111969112</v>
      </c>
      <c r="BI8" s="0" t="n">
        <f aca="false">((-pw_b/20*t_ap)-(0))/dSs</f>
        <v>-0.402187902187902</v>
      </c>
      <c r="BJ8" s="0" t="n">
        <f aca="false">((-(u_tw/2))-(0))/dSs</f>
        <v>-0.0160875160875161</v>
      </c>
    </row>
    <row r="9" customFormat="false" ht="15" hidden="false" customHeight="false" outlineLevel="0" collapsed="false">
      <c r="A9" s="0" t="s">
        <v>418</v>
      </c>
      <c r="B9" s="0" t="n">
        <f aca="false">l_d/2</f>
        <v>21</v>
      </c>
      <c r="AH9" s="0" t="n">
        <f aca="false">((IF(t_ap=1,(dxp),99))-(0))/dSe</f>
        <v>0.500625782227785</v>
      </c>
      <c r="AI9" s="0" t="n">
        <f aca="false">(((gap/20+fa_Lec/10+fa_s/10*MIN(5,fa_n-1)))-(0))/dSe</f>
        <v>0.456523034745813</v>
      </c>
      <c r="AK9" s="0" t="n">
        <f aca="false">((IF(t_ap=1,-(wa_nc-1)*wa_sh/20+wa_sh/10*MIN(0,wa_nc-1),99))-(0))/dSe</f>
        <v>-0.119196614816139</v>
      </c>
      <c r="AL9" s="0" t="n">
        <f aca="false">(((gap/20+wa_Le/10+wa_sv/10*MIN(5,wa_nr-1)))-(0))/dSe</f>
        <v>0.277728112521604</v>
      </c>
      <c r="AN9" s="0" t="n">
        <f aca="false">((l_d/2-l_tf)-(0))/dSs</f>
        <v>0.784266409266409</v>
      </c>
      <c r="AO9" s="0" t="n">
        <f aca="false">((l_bf/2)-(0))/dSs</f>
        <v>0.422297297297297</v>
      </c>
      <c r="AQ9" s="0" t="n">
        <f aca="false">((u_d/2-u_tf)-(0))/dSs</f>
        <v>0.744047619047619</v>
      </c>
      <c r="AR9" s="0" t="n">
        <f aca="false">((u_bf/2)-(0))/dSs</f>
        <v>0.402187902187902</v>
      </c>
    </row>
    <row r="10" customFormat="false" ht="15" hidden="false" customHeight="false" outlineLevel="0" collapsed="false">
      <c r="AH10" s="0" t="n">
        <f aca="false">((IF(t_ap=1,(dxp),99))-(0))/dSe</f>
        <v>0.500625782227785</v>
      </c>
      <c r="AI10" s="0" t="n">
        <f aca="false">(((gap/20+fa_Lec/10+fa_s/10*MIN(6,fa_n-1)))-(0))/dSe</f>
        <v>0.456523034745813</v>
      </c>
      <c r="AK10" s="0" t="n">
        <f aca="false">((IF(t_ap=1,-(wa_nc-1)*wa_sh/20+wa_sh/10*MIN(1,wa_nc-1),99))-(0))/dSe</f>
        <v>0.119196614816139</v>
      </c>
      <c r="AL10" s="0" t="n">
        <f aca="false">(((gap/20+wa_Le/10+wa_sv/10*MIN(0,wa_nr-1)))-(0))/dSe</f>
        <v>0.0989331902973956</v>
      </c>
      <c r="AN10" s="0" t="n">
        <f aca="false">((l_d/2)-(0))/dSs</f>
        <v>0.844594594594595</v>
      </c>
      <c r="AO10" s="0" t="n">
        <f aca="false">((l_bf/2)-(0))/dSs</f>
        <v>0.422297297297297</v>
      </c>
      <c r="AQ10" s="0" t="n">
        <f aca="false">((u_d/2)-(0))/dSs</f>
        <v>0.804375804375804</v>
      </c>
      <c r="AR10" s="0" t="n">
        <f aca="false">((u_bf/2)-(0))/dSs</f>
        <v>0.402187902187902</v>
      </c>
    </row>
    <row r="11" customFormat="false" ht="15" hidden="false" customHeight="false" outlineLevel="0" collapsed="false">
      <c r="AH11" s="0" t="n">
        <f aca="false">((IF(t_ap=1,(dxp),99))-(0))/dSe</f>
        <v>0.500625782227785</v>
      </c>
      <c r="AI11" s="0" t="n">
        <f aca="false">(((gap/20+fa_Lec/10+fa_s/10*MIN(7,fa_n-1)))-(0))/dSe</f>
        <v>0.456523034745813</v>
      </c>
      <c r="AK11" s="0" t="n">
        <f aca="false">((IF(t_ap=1,-(wa_nc-1)*wa_sh/20+wa_sh/10*MIN(1,wa_nc-1),99))-(0))/dSe</f>
        <v>0.119196614816139</v>
      </c>
      <c r="AL11" s="0" t="n">
        <f aca="false">(((gap/20+wa_Le/10+wa_sv/10*MIN(1,wa_nr-1)))-(0))/dSe</f>
        <v>0.277728112521604</v>
      </c>
      <c r="AN11" s="0" t="n">
        <f aca="false">((l_d/2)-(0))/dSs</f>
        <v>0.844594594594595</v>
      </c>
      <c r="AO11" s="0" t="n">
        <f aca="false">((-l_bf/2)-(0))/dSs</f>
        <v>-0.422297297297297</v>
      </c>
      <c r="AQ11" s="0" t="n">
        <f aca="false">((u_d/2)-(0))/dSs</f>
        <v>0.804375804375804</v>
      </c>
      <c r="AR11" s="0" t="n">
        <f aca="false">((-u_bf/2)-(0))/dSs</f>
        <v>-0.402187902187902</v>
      </c>
    </row>
    <row r="12" customFormat="false" ht="15" hidden="false" customHeight="false" outlineLevel="0" collapsed="false">
      <c r="AH12" s="0" t="n">
        <f aca="false">((IF(t_ap=1,(dxp),99))-(0))/dSe</f>
        <v>0.500625782227785</v>
      </c>
      <c r="AI12" s="0" t="n">
        <f aca="false">((-(gap/20+fa_Lec/10+fa_s/10*MIN(0,fa_n-1)))-(0))/dSe</f>
        <v>-0.0989331902973956</v>
      </c>
      <c r="AK12" s="0" t="n">
        <f aca="false">((IF(t_ap=1,-(wa_nc-1)*wa_sh/20+wa_sh/10*MIN(1,wa_nc-1),99))-(0))/dSe</f>
        <v>0.119196614816139</v>
      </c>
      <c r="AL12" s="0" t="n">
        <f aca="false">(((gap/20+wa_Le/10+wa_sv/10*MIN(2,wa_nr-1)))-(0))/dSe</f>
        <v>0.277728112521604</v>
      </c>
      <c r="AN12" s="0" t="n">
        <f aca="false">((l_d/2-l_tf)-(0))/dSs</f>
        <v>0.784266409266409</v>
      </c>
      <c r="AO12" s="0" t="n">
        <f aca="false">((-l_bf/2)-(0))/dSs</f>
        <v>-0.422297297297297</v>
      </c>
      <c r="AQ12" s="0" t="n">
        <f aca="false">((u_d/2-u_tf)-(0))/dSs</f>
        <v>0.744047619047619</v>
      </c>
      <c r="AR12" s="0" t="n">
        <f aca="false">((-u_bf/2)-(0))/dSs</f>
        <v>-0.402187902187902</v>
      </c>
    </row>
    <row r="13" customFormat="false" ht="15" hidden="false" customHeight="false" outlineLevel="0" collapsed="false">
      <c r="AH13" s="0" t="n">
        <f aca="false">((IF(t_ap=1,(dxp),99))-(0))/dSe</f>
        <v>0.500625782227785</v>
      </c>
      <c r="AI13" s="0" t="n">
        <f aca="false">((-(gap/20+fa_Lec/10+fa_s/10*MIN(1,fa_n-1)))-(0))/dSe</f>
        <v>-0.277728112521604</v>
      </c>
      <c r="AK13" s="0" t="n">
        <f aca="false">((IF(t_ap=1,-(wa_nc-1)*wa_sh/20+wa_sh/10*MIN(1,wa_nc-1),99))-(0))/dSe</f>
        <v>0.119196614816139</v>
      </c>
      <c r="AL13" s="0" t="n">
        <f aca="false">(((gap/20+wa_Le/10+wa_sv/10*MIN(3,wa_nr-1)))-(0))/dSe</f>
        <v>0.277728112521604</v>
      </c>
      <c r="AN13" s="0" t="n">
        <f aca="false">((l_d/2-l_tf)-(0))/dSs</f>
        <v>0.784266409266409</v>
      </c>
      <c r="AO13" s="0" t="n">
        <f aca="false">((-l_tw/2)-(0))/dSs</f>
        <v>-0.0160875160875161</v>
      </c>
      <c r="AQ13" s="0" t="n">
        <f aca="false">((u_d/2-u_tf)-(0))/dSs</f>
        <v>0.744047619047619</v>
      </c>
      <c r="AR13" s="0" t="n">
        <f aca="false">((-u_tw/2)-(0))/dSs</f>
        <v>-0.0160875160875161</v>
      </c>
    </row>
    <row r="14" customFormat="false" ht="15" hidden="false" customHeight="false" outlineLevel="0" collapsed="false">
      <c r="AH14" s="0" t="n">
        <f aca="false">((IF(t_ap=1,(dxp),99))-(0))/dSe</f>
        <v>0.500625782227785</v>
      </c>
      <c r="AI14" s="0" t="n">
        <f aca="false">((-(gap/20+fa_Lec/10+fa_s/10*MIN(2,fa_n-1)))-(0))/dSe</f>
        <v>-0.456523034745813</v>
      </c>
      <c r="AK14" s="0" t="n">
        <f aca="false">((IF(t_ap=1,-(wa_nc-1)*wa_sh/20+wa_sh/10*MIN(1,wa_nc-1),99))-(0))/dSe</f>
        <v>0.119196614816139</v>
      </c>
      <c r="AL14" s="0" t="n">
        <f aca="false">(((gap/20+wa_Le/10+wa_sv/10*MIN(4,wa_nr-1)))-(0))/dSe</f>
        <v>0.277728112521604</v>
      </c>
      <c r="AN14" s="0" t="n">
        <f aca="false">((-l_d/2+l_tf)-(0))/dSs</f>
        <v>-0.784266409266409</v>
      </c>
      <c r="AO14" s="0" t="n">
        <f aca="false">((-l_tw/2)-(0))/dSs</f>
        <v>-0.0160875160875161</v>
      </c>
      <c r="AQ14" s="0" t="n">
        <f aca="false">((-u_d/2+u_tf)-(0))/dSs</f>
        <v>-0.744047619047619</v>
      </c>
      <c r="AR14" s="0" t="n">
        <f aca="false">((-u_tw/2)-(0))/dSs</f>
        <v>-0.0160875160875161</v>
      </c>
    </row>
    <row r="15" customFormat="false" ht="15" hidden="false" customHeight="false" outlineLevel="0" collapsed="false">
      <c r="AH15" s="0" t="n">
        <f aca="false">((IF(t_ap=1,(dxp),99))-(0))/dSe</f>
        <v>0.500625782227785</v>
      </c>
      <c r="AI15" s="0" t="n">
        <f aca="false">((-(gap/20+fa_Lec/10+fa_s/10*MIN(3,fa_n-1)))-(0))/dSe</f>
        <v>-0.456523034745813</v>
      </c>
      <c r="AK15" s="0" t="n">
        <f aca="false">((IF(t_ap=1,-(wa_nc-1)*wa_sh/20+wa_sh/10*MIN(1,wa_nc-1),99))-(0))/dSe</f>
        <v>0.119196614816139</v>
      </c>
      <c r="AL15" s="0" t="n">
        <f aca="false">(((gap/20+wa_Le/10+wa_sv/10*MIN(5,wa_nr-1)))-(0))/dSe</f>
        <v>0.277728112521604</v>
      </c>
      <c r="AN15" s="0" t="n">
        <f aca="false">((-l_d/2+l_tf)-(0))/dSs</f>
        <v>-0.784266409266409</v>
      </c>
      <c r="AO15" s="0" t="n">
        <f aca="false">((-l_bf/2)-(0))/dSs</f>
        <v>-0.422297297297297</v>
      </c>
      <c r="AQ15" s="0" t="n">
        <f aca="false">((-u_d/2+u_tf)-(0))/dSs</f>
        <v>-0.744047619047619</v>
      </c>
      <c r="AR15" s="0" t="n">
        <f aca="false">((-u_bf/2)-(0))/dSs</f>
        <v>-0.402187902187902</v>
      </c>
    </row>
    <row r="16" customFormat="false" ht="15" hidden="false" customHeight="false" outlineLevel="0" collapsed="false">
      <c r="AH16" s="0" t="n">
        <f aca="false">((IF(t_ap=1,(dxp),99))-(0))/dSe</f>
        <v>0.500625782227785</v>
      </c>
      <c r="AI16" s="0" t="n">
        <f aca="false">((-(gap/20+fa_Lec/10+fa_s/10*MIN(4,fa_n-1)))-(0))/dSe</f>
        <v>-0.456523034745813</v>
      </c>
      <c r="AK16" s="0" t="n">
        <f aca="false">((IF(t_ap=1,-(wa_nc-1)*wa_sh/20+wa_sh/10*MIN(2,wa_nc-1),99))-(0))/dSe</f>
        <v>0.119196614816139</v>
      </c>
      <c r="AL16" s="0" t="n">
        <f aca="false">(((gap/20+wa_Le/10+wa_sv/10*MIN(0,wa_nr-1)))-(0))/dSe</f>
        <v>0.0989331902973956</v>
      </c>
      <c r="AN16" s="0" t="n">
        <f aca="false">((-l_d/2)-(0))/dSs</f>
        <v>-0.844594594594595</v>
      </c>
      <c r="AO16" s="0" t="n">
        <f aca="false">((-l_bf/2)-(0))/dSs</f>
        <v>-0.422297297297297</v>
      </c>
      <c r="AQ16" s="0" t="n">
        <f aca="false">((-u_d/2)-(0))/dSs</f>
        <v>-0.804375804375804</v>
      </c>
      <c r="AR16" s="0" t="n">
        <f aca="false">((-u_bf/2)-(0))/dSs</f>
        <v>-0.402187902187902</v>
      </c>
    </row>
    <row r="17" customFormat="false" ht="15" hidden="false" customHeight="false" outlineLevel="0" collapsed="false">
      <c r="AH17" s="0" t="n">
        <f aca="false">((IF(t_ap=1,(dxp),99))-(0))/dSe</f>
        <v>0.500625782227785</v>
      </c>
      <c r="AI17" s="0" t="n">
        <f aca="false">((-(gap/20+fa_Lec/10+fa_s/10*MIN(5,fa_n-1)))-(0))/dSe</f>
        <v>-0.456523034745813</v>
      </c>
      <c r="AK17" s="0" t="n">
        <f aca="false">((IF(t_ap=1,-(wa_nc-1)*wa_sh/20+wa_sh/10*MIN(2,wa_nc-1),99))-(0))/dSe</f>
        <v>0.119196614816139</v>
      </c>
      <c r="AL17" s="0" t="n">
        <f aca="false">(((gap/20+wa_Le/10+wa_sv/10*MIN(1,wa_nr-1)))-(0))/dSe</f>
        <v>0.277728112521604</v>
      </c>
    </row>
    <row r="18" customFormat="false" ht="15" hidden="false" customHeight="false" outlineLevel="0" collapsed="false">
      <c r="AH18" s="0" t="n">
        <f aca="false">((IF(t_ap=1,(dxp),99))-(0))/dSe</f>
        <v>0.500625782227785</v>
      </c>
      <c r="AI18" s="0" t="n">
        <f aca="false">((-(gap/20+fa_Lec/10+fa_s/10*MIN(6,fa_n-1)))-(0))/dSe</f>
        <v>-0.456523034745813</v>
      </c>
      <c r="AK18" s="0" t="n">
        <f aca="false">((IF(t_ap=1,-(wa_nc-1)*wa_sh/20+wa_sh/10*MIN(2,wa_nc-1),99))-(0))/dSe</f>
        <v>0.119196614816139</v>
      </c>
      <c r="AL18" s="0" t="n">
        <f aca="false">(((gap/20+wa_Le/10+wa_sv/10*MIN(2,wa_nr-1)))-(0))/dSe</f>
        <v>0.277728112521604</v>
      </c>
    </row>
    <row r="19" customFormat="false" ht="15" hidden="false" customHeight="false" outlineLevel="0" collapsed="false">
      <c r="AH19" s="0" t="n">
        <f aca="false">((IF(t_ap=1,(dxp),99))-(0))/dSe</f>
        <v>0.500625782227785</v>
      </c>
      <c r="AI19" s="0" t="n">
        <f aca="false">((-(gap/20+fa_Lec/10+fa_s/10*MIN(7,fa_n-1)))-(0))/dSe</f>
        <v>-0.456523034745813</v>
      </c>
      <c r="AK19" s="0" t="n">
        <f aca="false">((IF(t_ap=1,-(wa_nc-1)*wa_sh/20+wa_sh/10*MIN(2,wa_nc-1),99))-(0))/dSe</f>
        <v>0.119196614816139</v>
      </c>
      <c r="AL19" s="0" t="n">
        <f aca="false">(((gap/20+wa_Le/10+wa_sv/10*MIN(3,wa_nr-1)))-(0))/dSe</f>
        <v>0.277728112521604</v>
      </c>
    </row>
    <row r="20" customFormat="false" ht="15" hidden="false" customHeight="false" outlineLevel="0" collapsed="false">
      <c r="AH20" s="0" t="n">
        <f aca="false">((IF(t_ap=1,-(dxp),99))-(0))/dSe</f>
        <v>-0.500625782227785</v>
      </c>
      <c r="AI20" s="0" t="n">
        <f aca="false">(((gap/20+fa_Lec/10+fa_s/10*MIN(0,fa_n-1)))-(0))/dSe</f>
        <v>0.0989331902973956</v>
      </c>
      <c r="AK20" s="0" t="n">
        <f aca="false">((IF(t_ap=1,-(wa_nc-1)*wa_sh/20+wa_sh/10*MIN(2,wa_nc-1),99))-(0))/dSe</f>
        <v>0.119196614816139</v>
      </c>
      <c r="AL20" s="0" t="n">
        <f aca="false">(((gap/20+wa_Le/10+wa_sv/10*MIN(4,wa_nr-1)))-(0))/dSe</f>
        <v>0.277728112521604</v>
      </c>
    </row>
    <row r="21" customFormat="false" ht="15" hidden="false" customHeight="false" outlineLevel="0" collapsed="false">
      <c r="AH21" s="0" t="n">
        <f aca="false">((IF(t_ap=1,-(dxp),99))-(0))/dSe</f>
        <v>-0.500625782227785</v>
      </c>
      <c r="AI21" s="0" t="n">
        <f aca="false">(((gap/20+fa_Lec/10+fa_s/10*MIN(1,fa_n-1)))-(0))/dSe</f>
        <v>0.277728112521604</v>
      </c>
      <c r="AK21" s="0" t="n">
        <f aca="false">((IF(t_ap=1,-(wa_nc-1)*wa_sh/20+wa_sh/10*MIN(2,wa_nc-1),99))-(0))/dSe</f>
        <v>0.119196614816139</v>
      </c>
      <c r="AL21" s="0" t="n">
        <f aca="false">(((gap/20+wa_Le/10+wa_sv/10*MIN(5,wa_nr-1)))-(0))/dSe</f>
        <v>0.277728112521604</v>
      </c>
    </row>
    <row r="22" customFormat="false" ht="15" hidden="false" customHeight="false" outlineLevel="0" collapsed="false">
      <c r="AH22" s="0" t="n">
        <f aca="false">((IF(t_ap=1,-(dxp),99))-(0))/dSe</f>
        <v>-0.500625782227785</v>
      </c>
      <c r="AI22" s="0" t="n">
        <f aca="false">(((gap/20+fa_Lec/10+fa_s/10*MIN(2,fa_n-1)))-(0))/dSe</f>
        <v>0.456523034745813</v>
      </c>
      <c r="AK22" s="0" t="n">
        <f aca="false">((IF(t_ap=1,-(wa_nc-1)*wa_sh/20+wa_sh/10*MIN(0,wa_nc-1),99))-(0))/dSe</f>
        <v>-0.119196614816139</v>
      </c>
      <c r="AL22" s="0" t="n">
        <f aca="false">((-(gap/20+wa_Le/10+wa_sv/10*MIN(0,wa_nr-1)))-(0))/dSe</f>
        <v>-0.0989331902973956</v>
      </c>
    </row>
    <row r="23" customFormat="false" ht="15" hidden="false" customHeight="false" outlineLevel="0" collapsed="false">
      <c r="AH23" s="0" t="n">
        <f aca="false">((IF(t_ap=1,-(dxp),99))-(0))/dSe</f>
        <v>-0.500625782227785</v>
      </c>
      <c r="AI23" s="0" t="n">
        <f aca="false">(((gap/20+fa_Lec/10+fa_s/10*MIN(3,fa_n-1)))-(0))/dSe</f>
        <v>0.456523034745813</v>
      </c>
      <c r="AK23" s="0" t="n">
        <f aca="false">((IF(t_ap=1,-(wa_nc-1)*wa_sh/20+wa_sh/10*MIN(0,wa_nc-1),99))-(0))/dSe</f>
        <v>-0.119196614816139</v>
      </c>
      <c r="AL23" s="0" t="n">
        <f aca="false">((-(gap/20+wa_Le/10+wa_sv/10*MIN(1,wa_nr-1)))-(0))/dSe</f>
        <v>-0.277728112521604</v>
      </c>
    </row>
    <row r="24" customFormat="false" ht="15" hidden="false" customHeight="false" outlineLevel="0" collapsed="false">
      <c r="AH24" s="0" t="n">
        <f aca="false">((IF(t_ap=1,-(dxp),99))-(0))/dSe</f>
        <v>-0.500625782227785</v>
      </c>
      <c r="AI24" s="0" t="n">
        <f aca="false">(((gap/20+fa_Lec/10+fa_s/10*MIN(4,fa_n-1)))-(0))/dSe</f>
        <v>0.456523034745813</v>
      </c>
      <c r="AK24" s="0" t="n">
        <f aca="false">((IF(t_ap=1,-(wa_nc-1)*wa_sh/20+wa_sh/10*MIN(0,wa_nc-1),99))-(0))/dSe</f>
        <v>-0.119196614816139</v>
      </c>
      <c r="AL24" s="0" t="n">
        <f aca="false">((-(gap/20+wa_Le/10+wa_sv/10*MIN(2,wa_nr-1)))-(0))/dSe</f>
        <v>-0.277728112521604</v>
      </c>
    </row>
    <row r="25" customFormat="false" ht="15" hidden="false" customHeight="false" outlineLevel="0" collapsed="false">
      <c r="AH25" s="0" t="n">
        <f aca="false">((IF(t_ap=1,-(dxp),99))-(0))/dSe</f>
        <v>-0.500625782227785</v>
      </c>
      <c r="AI25" s="0" t="n">
        <f aca="false">(((gap/20+fa_Lec/10+fa_s/10*MIN(5,fa_n-1)))-(0))/dSe</f>
        <v>0.456523034745813</v>
      </c>
      <c r="AK25" s="0" t="n">
        <f aca="false">((IF(t_ap=1,-(wa_nc-1)*wa_sh/20+wa_sh/10*MIN(0,wa_nc-1),99))-(0))/dSe</f>
        <v>-0.119196614816139</v>
      </c>
      <c r="AL25" s="0" t="n">
        <f aca="false">((-(gap/20+wa_Le/10+wa_sv/10*MIN(3,wa_nr-1)))-(0))/dSe</f>
        <v>-0.277728112521604</v>
      </c>
    </row>
    <row r="26" customFormat="false" ht="15" hidden="false" customHeight="false" outlineLevel="0" collapsed="false">
      <c r="AH26" s="0" t="n">
        <f aca="false">((IF(t_ap=1,-(dxp),99))-(0))/dSe</f>
        <v>-0.500625782227785</v>
      </c>
      <c r="AI26" s="0" t="n">
        <f aca="false">(((gap/20+fa_Lec/10+fa_s/10*MIN(6,fa_n-1)))-(0))/dSe</f>
        <v>0.456523034745813</v>
      </c>
      <c r="AK26" s="0" t="n">
        <f aca="false">((IF(t_ap=1,-(wa_nc-1)*wa_sh/20+wa_sh/10*MIN(0,wa_nc-1),99))-(0))/dSe</f>
        <v>-0.119196614816139</v>
      </c>
      <c r="AL26" s="0" t="n">
        <f aca="false">((-(gap/20+wa_Le/10+wa_sv/10*MIN(4,wa_nr-1)))-(0))/dSe</f>
        <v>-0.277728112521604</v>
      </c>
    </row>
    <row r="27" customFormat="false" ht="15" hidden="false" customHeight="false" outlineLevel="0" collapsed="false">
      <c r="AH27" s="0" t="n">
        <f aca="false">((IF(t_ap=1,-(dxp),99))-(0))/dSe</f>
        <v>-0.500625782227785</v>
      </c>
      <c r="AI27" s="0" t="n">
        <f aca="false">(((gap/20+fa_Lec/10+fa_s/10*MIN(7,fa_n-1)))-(0))/dSe</f>
        <v>0.456523034745813</v>
      </c>
      <c r="AK27" s="0" t="n">
        <f aca="false">((IF(t_ap=1,-(wa_nc-1)*wa_sh/20+wa_sh/10*MIN(0,wa_nc-1),99))-(0))/dSe</f>
        <v>-0.119196614816139</v>
      </c>
      <c r="AL27" s="0" t="n">
        <f aca="false">((-(gap/20+wa_Le/10+wa_sv/10*MIN(5,wa_nr-1)))-(0))/dSe</f>
        <v>-0.277728112521604</v>
      </c>
    </row>
    <row r="28" customFormat="false" ht="15" hidden="false" customHeight="false" outlineLevel="0" collapsed="false">
      <c r="AH28" s="0" t="n">
        <f aca="false">((IF(t_ap=1,-(dxp),99))-(0))/dSe</f>
        <v>-0.500625782227785</v>
      </c>
      <c r="AI28" s="0" t="n">
        <f aca="false">((-(gap/20+fa_Lec/10+fa_s/10*MIN(0,fa_n-1)))-(0))/dSe</f>
        <v>-0.0989331902973956</v>
      </c>
      <c r="AK28" s="0" t="n">
        <f aca="false">((IF(t_ap=1,-(wa_nc-1)*wa_sh/20+wa_sh/10*MIN(1,wa_nc-1),99))-(0))/dSe</f>
        <v>0.119196614816139</v>
      </c>
      <c r="AL28" s="0" t="n">
        <f aca="false">((-(gap/20+wa_Le/10+wa_sv/10*MIN(0,wa_nr-1)))-(0))/dSe</f>
        <v>-0.0989331902973956</v>
      </c>
    </row>
    <row r="29" customFormat="false" ht="15" hidden="false" customHeight="false" outlineLevel="0" collapsed="false">
      <c r="AH29" s="0" t="n">
        <f aca="false">((IF(t_ap=1,-(dxp),99))-(0))/dSe</f>
        <v>-0.500625782227785</v>
      </c>
      <c r="AI29" s="0" t="n">
        <f aca="false">((-(gap/20+fa_Lec/10+fa_s/10*MIN(1,fa_n-1)))-(0))/dSe</f>
        <v>-0.277728112521604</v>
      </c>
      <c r="AK29" s="0" t="n">
        <f aca="false">((IF(t_ap=1,-(wa_nc-1)*wa_sh/20+wa_sh/10*MIN(1,wa_nc-1),99))-(0))/dSe</f>
        <v>0.119196614816139</v>
      </c>
      <c r="AL29" s="0" t="n">
        <f aca="false">((-(gap/20+wa_Le/10+wa_sv/10*MIN(1,wa_nr-1)))-(0))/dSe</f>
        <v>-0.277728112521604</v>
      </c>
    </row>
    <row r="30" customFormat="false" ht="15" hidden="false" customHeight="false" outlineLevel="0" collapsed="false">
      <c r="AH30" s="0" t="n">
        <f aca="false">((IF(t_ap=1,-(dxp),99))-(0))/dSe</f>
        <v>-0.500625782227785</v>
      </c>
      <c r="AI30" s="0" t="n">
        <f aca="false">((-(gap/20+fa_Lec/10+fa_s/10*MIN(2,fa_n-1)))-(0))/dSe</f>
        <v>-0.456523034745813</v>
      </c>
      <c r="AK30" s="0" t="n">
        <f aca="false">((IF(t_ap=1,-(wa_nc-1)*wa_sh/20+wa_sh/10*MIN(1,wa_nc-1),99))-(0))/dSe</f>
        <v>0.119196614816139</v>
      </c>
      <c r="AL30" s="0" t="n">
        <f aca="false">((-(gap/20+wa_Le/10+wa_sv/10*MIN(2,wa_nr-1)))-(0))/dSe</f>
        <v>-0.277728112521604</v>
      </c>
    </row>
    <row r="31" customFormat="false" ht="15" hidden="false" customHeight="false" outlineLevel="0" collapsed="false">
      <c r="AH31" s="0" t="n">
        <f aca="false">((IF(t_ap=1,-(dxp),99))-(0))/dSe</f>
        <v>-0.500625782227785</v>
      </c>
      <c r="AI31" s="0" t="n">
        <f aca="false">((-(gap/20+fa_Lec/10+fa_s/10*MIN(3,fa_n-1)))-(0))/dSe</f>
        <v>-0.456523034745813</v>
      </c>
      <c r="AK31" s="0" t="n">
        <f aca="false">((IF(t_ap=1,-(wa_nc-1)*wa_sh/20+wa_sh/10*MIN(1,wa_nc-1),99))-(0))/dSe</f>
        <v>0.119196614816139</v>
      </c>
      <c r="AL31" s="0" t="n">
        <f aca="false">((-(gap/20+wa_Le/10+wa_sv/10*MIN(3,wa_nr-1)))-(0))/dSe</f>
        <v>-0.277728112521604</v>
      </c>
    </row>
    <row r="32" customFormat="false" ht="15" hidden="false" customHeight="false" outlineLevel="0" collapsed="false">
      <c r="AH32" s="0" t="n">
        <f aca="false">((IF(t_ap=1,-(dxp),99))-(0))/dSe</f>
        <v>-0.500625782227785</v>
      </c>
      <c r="AI32" s="0" t="n">
        <f aca="false">((-(gap/20+fa_Lec/10+fa_s/10*MIN(4,fa_n-1)))-(0))/dSe</f>
        <v>-0.456523034745813</v>
      </c>
      <c r="AK32" s="0" t="n">
        <f aca="false">((IF(t_ap=1,-(wa_nc-1)*wa_sh/20+wa_sh/10*MIN(1,wa_nc-1),99))-(0))/dSe</f>
        <v>0.119196614816139</v>
      </c>
      <c r="AL32" s="0" t="n">
        <f aca="false">((-(gap/20+wa_Le/10+wa_sv/10*MIN(4,wa_nr-1)))-(0))/dSe</f>
        <v>-0.277728112521604</v>
      </c>
    </row>
    <row r="33" customFormat="false" ht="15" hidden="false" customHeight="false" outlineLevel="0" collapsed="false">
      <c r="AH33" s="0" t="n">
        <f aca="false">((IF(t_ap=1,-(dxp),99))-(0))/dSe</f>
        <v>-0.500625782227785</v>
      </c>
      <c r="AI33" s="0" t="n">
        <f aca="false">((-(gap/20+fa_Lec/10+fa_s/10*MIN(5,fa_n-1)))-(0))/dSe</f>
        <v>-0.456523034745813</v>
      </c>
      <c r="AK33" s="0" t="n">
        <f aca="false">((IF(t_ap=1,-(wa_nc-1)*wa_sh/20+wa_sh/10*MIN(1,wa_nc-1),99))-(0))/dSe</f>
        <v>0.119196614816139</v>
      </c>
      <c r="AL33" s="0" t="n">
        <f aca="false">((-(gap/20+wa_Le/10+wa_sv/10*MIN(5,wa_nr-1)))-(0))/dSe</f>
        <v>-0.277728112521604</v>
      </c>
    </row>
    <row r="34" customFormat="false" ht="15" hidden="false" customHeight="false" outlineLevel="0" collapsed="false">
      <c r="AH34" s="0" t="n">
        <f aca="false">((IF(t_ap=1,-(dxp),99))-(0))/dSe</f>
        <v>-0.500625782227785</v>
      </c>
      <c r="AI34" s="0" t="n">
        <f aca="false">((-(gap/20+fa_Lec/10+fa_s/10*MIN(6,fa_n-1)))-(0))/dSe</f>
        <v>-0.456523034745813</v>
      </c>
      <c r="AK34" s="0" t="n">
        <f aca="false">((IF(t_ap=1,-(wa_nc-1)*wa_sh/20+wa_sh/10*MIN(2,wa_nc-1),99))-(0))/dSe</f>
        <v>0.119196614816139</v>
      </c>
      <c r="AL34" s="0" t="n">
        <f aca="false">((-(gap/20+wa_Le/10+wa_sv/10*MIN(0,wa_nr-1)))-(0))/dSe</f>
        <v>-0.0989331902973956</v>
      </c>
    </row>
    <row r="35" customFormat="false" ht="15" hidden="false" customHeight="false" outlineLevel="0" collapsed="false">
      <c r="AH35" s="0" t="n">
        <f aca="false">((IF(t_ap=1,-(dxp),99))-(0))/dSe</f>
        <v>-0.500625782227785</v>
      </c>
      <c r="AI35" s="0" t="n">
        <f aca="false">((-(gap/20+fa_Lec/10+fa_s/10*MIN(7,fa_n-1)))-(0))/dSe</f>
        <v>-0.456523034745813</v>
      </c>
      <c r="AK35" s="0" t="n">
        <f aca="false">((IF(t_ap=1,-(wa_nc-1)*wa_sh/20+wa_sh/10*MIN(2,wa_nc-1),99))-(0))/dSe</f>
        <v>0.119196614816139</v>
      </c>
      <c r="AL35" s="0" t="n">
        <f aca="false">((-(gap/20+wa_Le/10+wa_sv/10*MIN(1,wa_nr-1)))-(0))/dSe</f>
        <v>-0.277728112521604</v>
      </c>
    </row>
    <row r="36" customFormat="false" ht="15" hidden="false" customHeight="false" outlineLevel="0" collapsed="false">
      <c r="AK36" s="0" t="n">
        <f aca="false">((IF(t_ap=1,-(wa_nc-1)*wa_sh/20+wa_sh/10*MIN(2,wa_nc-1),99))-(0))/dSe</f>
        <v>0.119196614816139</v>
      </c>
      <c r="AL36" s="0" t="n">
        <f aca="false">((-(gap/20+wa_Le/10+wa_sv/10*MIN(2,wa_nr-1)))-(0))/dSe</f>
        <v>-0.277728112521604</v>
      </c>
    </row>
    <row r="37" customFormat="false" ht="15" hidden="false" customHeight="false" outlineLevel="0" collapsed="false">
      <c r="AK37" s="0" t="n">
        <f aca="false">((IF(t_ap=1,-(wa_nc-1)*wa_sh/20+wa_sh/10*MIN(2,wa_nc-1),99))-(0))/dSe</f>
        <v>0.119196614816139</v>
      </c>
      <c r="AL37" s="0" t="n">
        <f aca="false">((-(gap/20+wa_Le/10+wa_sv/10*MIN(3,wa_nr-1)))-(0))/dSe</f>
        <v>-0.277728112521604</v>
      </c>
    </row>
    <row r="38" customFormat="false" ht="15" hidden="false" customHeight="false" outlineLevel="0" collapsed="false">
      <c r="AK38" s="0" t="n">
        <f aca="false">((IF(t_ap=1,-(wa_nc-1)*wa_sh/20+wa_sh/10*MIN(2,wa_nc-1),99))-(0))/dSe</f>
        <v>0.119196614816139</v>
      </c>
      <c r="AL38" s="0" t="n">
        <f aca="false">((-(gap/20+wa_Le/10+wa_sv/10*MIN(4,wa_nr-1)))-(0))/dSe</f>
        <v>-0.277728112521604</v>
      </c>
    </row>
    <row r="39" customFormat="false" ht="15" hidden="false" customHeight="false" outlineLevel="0" collapsed="false">
      <c r="AK39" s="0" t="n">
        <f aca="false">((IF(t_ap=1,-(wa_nc-1)*wa_sh/20+wa_sh/10*MIN(2,wa_nc-1),99))-(0))/dSe</f>
        <v>0.119196614816139</v>
      </c>
      <c r="AL39" s="0" t="n">
        <f aca="false">((-(gap/20+wa_Le/10+wa_sv/10*MIN(5,wa_nr-1)))-(0))/dSe</f>
        <v>-0.277728112521604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2026-09-26T05:26:31Z</dcterms:created>
  <dc:creator>openpyxl</dc:creator>
  <dc:description/>
  <dc:language>en-US</dc:language>
  <cp:lastModifiedBy/>
  <dcterms:modified xsi:type="dcterms:W3CDTF">2026-09-26T05:26:33Z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