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EÑO" sheetId="1" state="visible" r:id="rId3"/>
    <sheet name="CALCULO" sheetId="2" state="visible" r:id="rId4"/>
    <sheet name="CATALOGOS" sheetId="3" state="visible" r:id="rId5"/>
    <sheet name="DIBUJO" sheetId="4" state="visible" r:id="rId6"/>
  </sheets>
  <definedNames>
    <definedName function="false" hidden="false" localSheetId="0" name="_xlnm.Print_Area" vbProcedure="false">DISEÑO!$A$1:$U$48</definedName>
    <definedName function="false" hidden="false" name="b_Afn" vbProcedure="false">CALCULO!$D$45</definedName>
    <definedName function="false" hidden="false" name="b_bf" vbProcedure="false">CALCULO!$D$6</definedName>
    <definedName function="false" hidden="false" name="b_bs" vbProcedure="false">CALCULO!$D$43</definedName>
    <definedName function="false" hidden="false" name="b_d" vbProcedure="false">CALCULO!$D$5</definedName>
    <definedName function="false" hidden="false" name="b_F13" vbProcedure="false">CALCULO!$D$46</definedName>
    <definedName function="false" hidden="false" name="b_Iw" vbProcedure="false">CALCULO!$D$12</definedName>
    <definedName function="false" hidden="false" name="b_Ix" vbProcedure="false">CALCULO!$D$10</definedName>
    <definedName function="false" hidden="false" name="b_k" vbProcedure="false">CALCULO!$D$9</definedName>
    <definedName function="false" hidden="false" name="b_MnF" vbProcedure="false">CALCULO!$D$47</definedName>
    <definedName function="false" hidden="false" name="b_Sx" vbProcedure="false">CALCULO!$D$11</definedName>
    <definedName function="false" hidden="false" name="b_tf" vbProcedure="false">CALCULO!$D$8</definedName>
    <definedName function="false" hidden="false" name="b_tw" vbProcedure="false">CALCULO!$D$7</definedName>
    <definedName function="false" hidden="false" name="b_Yt" vbProcedure="false">CALCULO!$D$44</definedName>
    <definedName function="false" hidden="false" name="cb_M" vbProcedure="false">DISEÑO!$H$23:$H$32</definedName>
    <definedName function="false" hidden="false" name="cb_nom" vbProcedure="false">DISEÑO!$G$23:$G$32</definedName>
    <definedName function="false" hidden="false" name="cb_V" vbProcedure="false">DISEÑO!$I$23:$I$32</definedName>
    <definedName function="false" hidden="false" name="det_k" vbProcedure="false">DISEÑO!$K$36</definedName>
    <definedName function="false" hidden="false" name="dist_M" vbProcedure="false">DISEÑO!$C$22</definedName>
    <definedName function="false" hidden="false" name="dLb" vbProcedure="false">DIBUJO!$B$5</definedName>
    <definedName function="false" hidden="false" name="dLfp" vbProcedure="false">DIBUJO!$B$3</definedName>
    <definedName function="false" hidden="false" name="dLwp" vbProcedure="false">DIBUJO!$B$4</definedName>
    <definedName function="false" hidden="false" name="dSe" vbProcedure="false">DIBUJO!$B$6</definedName>
    <definedName function="false" hidden="false" name="dSs" vbProcedure="false">DIBUJO!$B$7</definedName>
    <definedName function="false" hidden="false" name="fa_Ab" vbProcedure="false">CALCULO!$D$21</definedName>
    <definedName function="false" hidden="false" name="fa_db" vbProcedure="false">CALCULO!$D$20</definedName>
    <definedName function="false" hidden="false" name="fa_dbi" vbProcedure="false">CALCULO!$D$19</definedName>
    <definedName function="false" hidden="false" name="fa_dh" vbProcedure="false">CALCULO!$D$22</definedName>
    <definedName function="false" hidden="false" name="fa_diam" vbProcedure="false">DISEÑO!$C$33</definedName>
    <definedName function="false" hidden="false" name="fa_dn" vbProcedure="false">CALCULO!$D$23</definedName>
    <definedName function="false" hidden="false" name="fa_em" vbProcedure="false">CALCULO!$D$24</definedName>
    <definedName function="false" hidden="false" name="fa_Fnv" vbProcedure="false">CALCULO!$D$25</definedName>
    <definedName function="false" hidden="false" name="fa_g" vbProcedure="false">DISEÑO!$C$35</definedName>
    <definedName function="false" hidden="false" name="fa_grado" vbProcedure="false">DISEÑO!$C$32</definedName>
    <definedName function="false" hidden="false" name="fa_Leb" vbProcedure="false">DISEÑO!$C$37</definedName>
    <definedName function="false" hidden="false" name="fa_Lep" vbProcedure="false">DISEÑO!$C$38</definedName>
    <definedName function="false" hidden="false" name="fa_n" vbProcedure="false">DISEÑO!$C$34</definedName>
    <definedName function="false" hidden="false" name="fa_s" vbProcedure="false">DISEÑO!$C$36</definedName>
    <definedName function="false" hidden="false" name="fa_Tb" vbProcedure="false">CALCULO!$D$26</definedName>
    <definedName function="false" hidden="false" name="f_Lcb" vbProcedure="false">CALCULO!$D$31</definedName>
    <definedName function="false" hidden="false" name="f_Lcp" vbProcedure="false">CALCULO!$D$32</definedName>
    <definedName function="false" hidden="false" name="f_nb" vbProcedure="false">CALCULO!$D$27</definedName>
    <definedName function="false" hidden="false" name="f_ns" vbProcedure="false">CALCULO!$D$28</definedName>
    <definedName function="false" hidden="false" name="f_rbb" vbProcedure="false">CALCULO!$D$33</definedName>
    <definedName function="false" hidden="false" name="f_rbp" vbProcedure="false">CALCULO!$D$34</definedName>
    <definedName function="false" hidden="false" name="f_rv" vbProcedure="false">CALCULO!$D$29</definedName>
    <definedName function="false" hidden="false" name="f_rvs" vbProcedure="false">CALCULO!$D$30</definedName>
    <definedName function="false" hidden="false" name="gap" vbProcedure="false">DISEÑO!$C$20</definedName>
    <definedName function="false" hidden="false" name="junta" vbProcedure="false">DISEÑO!$C$21</definedName>
    <definedName function="false" hidden="false" name="j_in" vbProcedure="false">CALCULO!$D$17</definedName>
    <definedName function="false" hidden="false" name="j_mu" vbProcedure="false">CALCULO!$D$16</definedName>
    <definedName function="false" hidden="false" name="j_sc" vbProcedure="false">CALCULO!$D$15</definedName>
    <definedName function="false" hidden="false" name="k_E" vbProcedure="false">CALCULO!$D$14</definedName>
    <definedName function="false" hidden="false" name="k_gap" vbProcedure="false">CALCULO!$D$13</definedName>
    <definedName function="false" hidden="false" name="lim_verde" vbProcedure="false">DISEÑO!$C$9</definedName>
    <definedName function="false" hidden="false" name="pf_acero" vbProcedure="false">DISEÑO!$C$24</definedName>
    <definedName function="false" hidden="false" name="pf_bi" vbProcedure="false">DISEÑO!$C$29</definedName>
    <definedName function="false" hidden="false" name="pf_bo" vbProcedure="false">DISEÑO!$C$26</definedName>
    <definedName function="false" hidden="false" name="pf_Fu" vbProcedure="false">DISEÑO!$E$25</definedName>
    <definedName function="false" hidden="false" name="pf_Fy" vbProcedure="false">DISEÑO!$C$25</definedName>
    <definedName function="false" hidden="false" name="pf_in" vbProcedure="false">DISEÑO!$C$28</definedName>
    <definedName function="false" hidden="false" name="pf_ti" vbProcedure="false">DISEÑO!$C$30</definedName>
    <definedName function="false" hidden="false" name="pf_to" vbProcedure="false">DISEÑO!$C$27</definedName>
    <definedName function="false" hidden="false" name="pw_acero" vbProcedure="false">DISEÑO!$C$40</definedName>
    <definedName function="false" hidden="false" name="pw_Fu" vbProcedure="false">DISEÑO!$E$41</definedName>
    <definedName function="false" hidden="false" name="pw_Fy" vbProcedure="false">DISEÑO!$C$41</definedName>
    <definedName function="false" hidden="false" name="pw_h" vbProcedure="false">DISEÑO!$C$42</definedName>
    <definedName function="false" hidden="false" name="pw_t" vbProcedure="false">DISEÑO!$C$43</definedName>
    <definedName function="false" hidden="false" name="p_Ag" vbProcedure="false">CALCULO!$D$35</definedName>
    <definedName function="false" hidden="false" name="p_An" vbProcedure="false">CALCULO!$D$36</definedName>
    <definedName function="false" hidden="false" name="p_bs" vbProcedure="false">CALCULO!$D$39</definedName>
    <definedName function="false" hidden="false" name="p_cb" vbProcedure="false">CALCULO!$D$42</definedName>
    <definedName function="false" hidden="false" name="p_Fcr" vbProcedure="false">CALCULO!$D$41</definedName>
    <definedName function="false" hidden="false" name="p_KLr" vbProcedure="false">CALCULO!$D$40</definedName>
    <definedName function="false" hidden="false" name="p_tr" vbProcedure="false">CALCULO!$D$38</definedName>
    <definedName function="false" hidden="false" name="p_ty" vbProcedure="false">CALCULO!$D$37</definedName>
    <definedName function="false" hidden="false" name="vg_acero" vbProcedure="false">DISEÑO!$C$16</definedName>
    <definedName function="false" hidden="false" name="vg_bf_mm" vbProcedure="false">DISEÑO!$C$13</definedName>
    <definedName function="false" hidden="false" name="vg_d_mm" vbProcedure="false">DISEÑO!$C$12</definedName>
    <definedName function="false" hidden="false" name="vg_Fu" vbProcedure="false">DISEÑO!$E$17</definedName>
    <definedName function="false" hidden="false" name="vg_Fy" vbProcedure="false">DISEÑO!$C$17</definedName>
    <definedName function="false" hidden="false" name="vg_kw" vbProcedure="false">DISEÑO!$C$18</definedName>
    <definedName function="false" hidden="false" name="vg_perfil" vbProcedure="false">DISEÑO!$C$11</definedName>
    <definedName function="false" hidden="false" name="vg_tf_mm" vbProcedure="false">DISEÑO!$C$15</definedName>
    <definedName function="false" hidden="false" name="vg_tw_mm" vbProcedure="false">DISEÑO!$C$14</definedName>
    <definedName function="false" hidden="false" name="wa_Ab" vbProcedure="false">CALCULO!$D$51</definedName>
    <definedName function="false" hidden="false" name="wa_db" vbProcedure="false">CALCULO!$D$50</definedName>
    <definedName function="false" hidden="false" name="wa_dbi" vbProcedure="false">CALCULO!$D$49</definedName>
    <definedName function="false" hidden="false" name="wa_dh" vbProcedure="false">CALCULO!$D$52</definedName>
    <definedName function="false" hidden="false" name="wa_diam" vbProcedure="false">DISEÑO!$C$46</definedName>
    <definedName function="false" hidden="false" name="wa_dn" vbProcedure="false">CALCULO!$D$53</definedName>
    <definedName function="false" hidden="false" name="wa_em" vbProcedure="false">CALCULO!$D$54</definedName>
    <definedName function="false" hidden="false" name="wa_Fnv" vbProcedure="false">CALCULO!$D$55</definedName>
    <definedName function="false" hidden="false" name="wa_grado" vbProcedure="false">DISEÑO!$C$45</definedName>
    <definedName function="false" hidden="false" name="wa_Leb" vbProcedure="false">DISEÑO!$C$51</definedName>
    <definedName function="false" hidden="false" name="wa_Lep" vbProcedure="false">DISEÑO!$C$52</definedName>
    <definedName function="false" hidden="false" name="wa_nc" vbProcedure="false">DISEÑO!$C$48</definedName>
    <definedName function="false" hidden="false" name="wa_nr" vbProcedure="false">DISEÑO!$C$47</definedName>
    <definedName function="false" hidden="false" name="wa_sh" vbProcedure="false">DISEÑO!$C$50</definedName>
    <definedName function="false" hidden="false" name="wa_sv" vbProcedure="false">DISEÑO!$C$49</definedName>
    <definedName function="false" hidden="false" name="wa_Tb" vbProcedure="false">CALCULO!$D$56</definedName>
    <definedName function="false" hidden="false" name="w_bs" vbProcedure="false">CALCULO!$D$71</definedName>
    <definedName function="false" hidden="false" name="w_bvr" vbProcedure="false">CALCULO!$D$72</definedName>
    <definedName function="false" hidden="false" name="w_e" vbProcedure="false">CALCULO!$D$58</definedName>
    <definedName function="false" hidden="false" name="w_Ip" vbProcedure="false">CALCULO!$D$59</definedName>
    <definedName function="false" hidden="false" name="w_Lcp" vbProcedure="false">CALCULO!$D$65</definedName>
    <definedName function="false" hidden="false" name="w_Lcw" vbProcedure="false">CALCULO!$D$64</definedName>
    <definedName function="false" hidden="false" name="w_Mn" vbProcedure="false">CALCULO!$D$70</definedName>
    <definedName function="false" hidden="false" name="w_n" vbProcedure="false">CALCULO!$D$57</definedName>
    <definedName function="false" hidden="false" name="w_rbp" vbProcedure="false">CALCULO!$D$67</definedName>
    <definedName function="false" hidden="false" name="w_rbw" vbProcedure="false">CALCULO!$D$66</definedName>
    <definedName function="false" hidden="false" name="w_rv" vbProcedure="false">CALCULO!$D$62</definedName>
    <definedName function="false" hidden="false" name="w_rvs" vbProcedure="false">CALCULO!$D$63</definedName>
    <definedName function="false" hidden="false" name="w_vr" vbProcedure="false">CALCULO!$D$69</definedName>
    <definedName function="false" hidden="false" name="w_vy" vbProcedure="false">CALCULO!$D$68</definedName>
    <definedName function="false" hidden="false" name="w_xm" vbProcedure="false">CALCULO!$D$60</definedName>
    <definedName function="false" hidden="false" name="w_ym" vbProcedure="false">CALCULO!$D$61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1" authorId="0">
      <text>
        <r>
          <rPr>
            <sz val="10"/>
            <rFont val="Arial"/>
            <family val="2"/>
          </rPr>
          <t xml:space="preserve">Para un perfil armado con flejes soldados elija 'ARMADO (flejes soldados)' e ingrese d, bf, tw y tf en mm en la columna 'Armado'.</t>
        </r>
      </text>
    </comment>
    <comment ref="C21" authorId="0">
      <text>
        <r>
          <rPr>
            <sz val="10"/>
            <rFont val="Arial"/>
            <family val="2"/>
          </rPr>
          <t xml:space="preserve">Deslizamiento crítico: φRn = 1.0·μ·1.13·hf·Tb·ns (J3.8, agujeros estándar). Además se verifican corte y aplastamiento.</t>
        </r>
      </text>
    </comment>
    <comment ref="C22" authorId="0">
      <text>
        <r>
          <rPr>
            <sz val="10"/>
            <rFont val="Arial"/>
            <family val="2"/>
          </rPr>
          <t xml:space="preserve">No: las alas toman todo el momento y el alma solo el corte (práctica usual). Sí: el alma toma Mu·Iw/Ix.</t>
        </r>
      </text>
    </comment>
    <comment ref="C28" authorId="0">
      <text>
        <r>
          <rPr>
            <sz val="10"/>
            <rFont val="Arial"/>
            <family val="2"/>
          </rPr>
          <t xml:space="preserve">Con placas interiores los pernos de ala trabajan en doble corte.</t>
        </r>
      </text>
    </comment>
  </commentList>
</comments>
</file>

<file path=xl/sharedStrings.xml><?xml version="1.0" encoding="utf-8"?>
<sst xmlns="http://schemas.openxmlformats.org/spreadsheetml/2006/main" count="624" uniqueCount="391">
  <si>
    <t xml:space="preserve">EMPALME DE VIGA APERNADO (BEAM SPLICE) — PLACAS DE ALA Y DE ALMA</t>
  </si>
  <si>
    <t xml:space="preserve">AISC 360-16 (J3, J3.8, J4, J5, F13.1)  ·  AISC Manual Parte 12  ·  LRFD  ·  Unidades: Tonf, Tonf·m, mm, kgf/cm²</t>
  </si>
  <si>
    <t xml:space="preserve">Celdas de ingreso:</t>
  </si>
  <si>
    <t xml:space="preserve">valor</t>
  </si>
  <si>
    <t xml:space="preserve">  Calculado:</t>
  </si>
  <si>
    <t xml:space="preserve">Estados:  VERDE ≤ límite  ·  AMARILLO entre límite y 1.00  ·  ROJO &gt; 1.00  (ratio = demanda / capacidad, o requerido / provisto)</t>
  </si>
  <si>
    <t xml:space="preserve">DATOS GENERALES</t>
  </si>
  <si>
    <t xml:space="preserve">ELEVACIÓN DEL EMPALME</t>
  </si>
  <si>
    <t xml:space="preserve">SECCIÓN EN EL EMPALME</t>
  </si>
  <si>
    <t xml:space="preserve">VERIFICACIONES — combinación gobernante por chequeo</t>
  </si>
  <si>
    <t xml:space="preserve">Proyecto</t>
  </si>
  <si>
    <t xml:space="preserve">Edificio — ejemplo</t>
  </si>
  <si>
    <t xml:space="preserve">Elemento</t>
  </si>
  <si>
    <t xml:space="preserve">Viga V-2, empalme a L/4</t>
  </si>
  <si>
    <t xml:space="preserve">Límite verde / amarillo (ratio)</t>
  </si>
  <si>
    <t xml:space="preserve">1. VIGA</t>
  </si>
  <si>
    <t xml:space="preserve">Verificación</t>
  </si>
  <si>
    <t xml:space="preserve">Referencia</t>
  </si>
  <si>
    <t xml:space="preserve">Demanda</t>
  </si>
  <si>
    <t xml:space="preserve">Capacidad</t>
  </si>
  <si>
    <t xml:space="preserve">Unidad</t>
  </si>
  <si>
    <t xml:space="preserve">Ratio</t>
  </si>
  <si>
    <t xml:space="preserve">Estado</t>
  </si>
  <si>
    <t xml:space="preserve">Combo</t>
  </si>
  <si>
    <t xml:space="preserve">Perfil (catálogo o ARMADO)</t>
  </si>
  <si>
    <t xml:space="preserve">VK400X180X6X12</t>
  </si>
  <si>
    <t xml:space="preserve">Armado (mm)</t>
  </si>
  <si>
    <t xml:space="preserve">ALAS</t>
  </si>
  <si>
    <t xml:space="preserve">Peralte d</t>
  </si>
  <si>
    <t xml:space="preserve">mm</t>
  </si>
  <si>
    <t xml:space="preserve">Pernos de ala — corte / deslizamiento</t>
  </si>
  <si>
    <t xml:space="preserve">J3.6 / J3.8</t>
  </si>
  <si>
    <t xml:space="preserve">Tonf</t>
  </si>
  <si>
    <t xml:space="preserve">Ancho de ala bf</t>
  </si>
  <si>
    <t xml:space="preserve">Pernos de ala — aplastamiento / desgarre</t>
  </si>
  <si>
    <t xml:space="preserve">J3.10</t>
  </si>
  <si>
    <t xml:space="preserve">Espesor de alma tw</t>
  </si>
  <si>
    <t xml:space="preserve">Placas de ala — fluencia en tracción</t>
  </si>
  <si>
    <t xml:space="preserve">J4.1(a)</t>
  </si>
  <si>
    <t xml:space="preserve">Espesor de ala tf</t>
  </si>
  <si>
    <t xml:space="preserve">Placas de ala — ruptura en tracción</t>
  </si>
  <si>
    <t xml:space="preserve">J4.1(b)</t>
  </si>
  <si>
    <t xml:space="preserve">Acero</t>
  </si>
  <si>
    <t xml:space="preserve">A572 Gr50</t>
  </si>
  <si>
    <t xml:space="preserve">Placas de ala — bloque de cortante</t>
  </si>
  <si>
    <t xml:space="preserve">J4.3</t>
  </si>
  <si>
    <t xml:space="preserve">Fy / Fu</t>
  </si>
  <si>
    <t xml:space="preserve">kgf/cm²</t>
  </si>
  <si>
    <t xml:space="preserve">Placas de ala — compresión</t>
  </si>
  <si>
    <t xml:space="preserve">J4.4 / E3</t>
  </si>
  <si>
    <t xml:space="preserve">Filete / radio alma–ala (para k)</t>
  </si>
  <si>
    <t xml:space="preserve">Ala de viga — bloque de cortante</t>
  </si>
  <si>
    <t xml:space="preserve">2. EMPALME</t>
  </si>
  <si>
    <t xml:space="preserve">Viga — agujeros en el ala en tracción</t>
  </si>
  <si>
    <t xml:space="preserve">F13.1</t>
  </si>
  <si>
    <t xml:space="preserve">Tonf·m</t>
  </si>
  <si>
    <t xml:space="preserve">Holgura entre extremos de vigas</t>
  </si>
  <si>
    <t xml:space="preserve">ALMA</t>
  </si>
  <si>
    <t xml:space="preserve">Tipo de junta</t>
  </si>
  <si>
    <t xml:space="preserve">Aplastamiento</t>
  </si>
  <si>
    <t xml:space="preserve">SOLICITACIONES EN EL EMPALME (LRFD)</t>
  </si>
  <si>
    <t xml:space="preserve">Pernos de alma — corte / deslizamiento (perno crítico)</t>
  </si>
  <si>
    <t xml:space="preserve">Momento tomado por el alma</t>
  </si>
  <si>
    <t xml:space="preserve">No (solo alas)</t>
  </si>
  <si>
    <t xml:space="preserve">Combinación</t>
  </si>
  <si>
    <t xml:space="preserve">Mu (Tonf·m)</t>
  </si>
  <si>
    <t xml:space="preserve">Vu (Tonf)</t>
  </si>
  <si>
    <t xml:space="preserve">Ratio máx.</t>
  </si>
  <si>
    <t xml:space="preserve">Pernos de alma — aplastamiento / desgarre</t>
  </si>
  <si>
    <t xml:space="preserve">3. PLACAS DE ALA (por ala)</t>
  </si>
  <si>
    <t xml:space="preserve">1.2D+1.6L</t>
  </si>
  <si>
    <t xml:space="preserve">Placas de alma — corte</t>
  </si>
  <si>
    <t xml:space="preserve">J4.2</t>
  </si>
  <si>
    <t xml:space="preserve">1.2D+1.0E+L</t>
  </si>
  <si>
    <t xml:space="preserve">Placas de alma — corte + flexión</t>
  </si>
  <si>
    <t xml:space="preserve">Manual Ec. 10-5</t>
  </si>
  <si>
    <t xml:space="preserve">-</t>
  </si>
  <si>
    <t xml:space="preserve">0.9D+1.0E</t>
  </si>
  <si>
    <t xml:space="preserve">Placas de alma — bloque de cortante</t>
  </si>
  <si>
    <t xml:space="preserve">Placa exterior: ancho</t>
  </si>
  <si>
    <t xml:space="preserve">C4</t>
  </si>
  <si>
    <t xml:space="preserve">Alma de viga — ruptura por corte</t>
  </si>
  <si>
    <t xml:space="preserve">J4.2(b)</t>
  </si>
  <si>
    <t xml:space="preserve">Placa exterior: espesor</t>
  </si>
  <si>
    <t xml:space="preserve">C5</t>
  </si>
  <si>
    <t xml:space="preserve">DETALLES (requerido / provisto)</t>
  </si>
  <si>
    <t xml:space="preserve">Placas interiores (2, bajo el ala)</t>
  </si>
  <si>
    <t xml:space="preserve">Sí</t>
  </si>
  <si>
    <t xml:space="preserve">C6</t>
  </si>
  <si>
    <t xml:space="preserve">Paso de ala s ≥ 3·db</t>
  </si>
  <si>
    <t xml:space="preserve">J3.3</t>
  </si>
  <si>
    <t xml:space="preserve">cm</t>
  </si>
  <si>
    <t xml:space="preserve">—</t>
  </si>
  <si>
    <t xml:space="preserve">Placas interiores: ancho c/u</t>
  </si>
  <si>
    <t xml:space="preserve">C7</t>
  </si>
  <si>
    <t xml:space="preserve">Borde en ala de viga ≥ mínimo</t>
  </si>
  <si>
    <t xml:space="preserve">J3.4</t>
  </si>
  <si>
    <t xml:space="preserve">Placas interiores: espesor</t>
  </si>
  <si>
    <t xml:space="preserve">C8</t>
  </si>
  <si>
    <t xml:space="preserve">Borde en placa de ala ≥ mínimo</t>
  </si>
  <si>
    <t xml:space="preserve">4. PERNOS DE ALA</t>
  </si>
  <si>
    <t xml:space="preserve">C9</t>
  </si>
  <si>
    <t xml:space="preserve">Borde lateral placa exterior (bo − g)/2</t>
  </si>
  <si>
    <t xml:space="preserve">Grado</t>
  </si>
  <si>
    <t xml:space="preserve">A325-N (roscas incl.)</t>
  </si>
  <si>
    <t xml:space="preserve">C10</t>
  </si>
  <si>
    <t xml:space="preserve">Borde lateral ala de viga (bf − g)/2</t>
  </si>
  <si>
    <t xml:space="preserve">Diámetro</t>
  </si>
  <si>
    <t xml:space="preserve">3/4"</t>
  </si>
  <si>
    <t xml:space="preserve">Se usa |Mu| y |Vu| en la sección del empalme. Filas vacías se ignoran.</t>
  </si>
  <si>
    <t xml:space="preserve">Placa interior cabe junto al alma: bi ≤ (bf − tw)/2 − filete</t>
  </si>
  <si>
    <t xml:space="preserve">Geometría</t>
  </si>
  <si>
    <t xml:space="preserve">Filas por lado del empalme (2 líneas)</t>
  </si>
  <si>
    <t xml:space="preserve">Gramil deja espacio a la llave junto al alma: g/2 − tw/2 ≥ 1.5·db</t>
  </si>
  <si>
    <t xml:space="preserve">Gramil g</t>
  </si>
  <si>
    <t xml:space="preserve">DETALLE DE UNA COMBINACIÓN</t>
  </si>
  <si>
    <t xml:space="preserve">Placa de alma cabe entre alas / placas interiores</t>
  </si>
  <si>
    <t xml:space="preserve">Paso s</t>
  </si>
  <si>
    <t xml:space="preserve">Combinación:</t>
  </si>
  <si>
    <t xml:space="preserve">Paso de alma sv ≥ 3·db</t>
  </si>
  <si>
    <t xml:space="preserve">Borde en la viga (fila → extremo de viga)</t>
  </si>
  <si>
    <t xml:space="preserve">Momento en el alma Mw</t>
  </si>
  <si>
    <t xml:space="preserve">Borde en alma de viga ≥ mínimo</t>
  </si>
  <si>
    <t xml:space="preserve">Borde en la placa (última fila → extremo)</t>
  </si>
  <si>
    <t xml:space="preserve">Fuerza en el ala Ff</t>
  </si>
  <si>
    <t xml:space="preserve">Borde horizontal placa de alma ≥ mínimo</t>
  </si>
  <si>
    <t xml:space="preserve">5. PLACAS DE ALMA (2, una a cada lado)</t>
  </si>
  <si>
    <t xml:space="preserve">Momento en el grupo de alma Mt</t>
  </si>
  <si>
    <t xml:space="preserve">Borde vertical placa de alma ≥ mínimo</t>
  </si>
  <si>
    <t xml:space="preserve">A36</t>
  </si>
  <si>
    <t xml:space="preserve">Perno crítico de alma rmáx</t>
  </si>
  <si>
    <t xml:space="preserve">Largo de placas de ala</t>
  </si>
  <si>
    <t xml:space="preserve">Alto de placa hp</t>
  </si>
  <si>
    <t xml:space="preserve">Ancho de placas de alma</t>
  </si>
  <si>
    <t xml:space="preserve">ALCANCE Y SUPUESTOS</t>
  </si>
  <si>
    <t xml:space="preserve">Espesor</t>
  </si>
  <si>
    <t xml:space="preserve">Ratio máximo</t>
  </si>
  <si>
    <t xml:space="preserve">• Empalme apernado; las alas toman el momento (o Mu − Mw si se activa el reparto por inercia) y el alma el corte.</t>
  </si>
  <si>
    <t xml:space="preserve">6. PERNOS DE ALMA</t>
  </si>
  <si>
    <t xml:space="preserve">• Fuerza de ala Ff = M/(d − tf); se reparte entre placa exterior e interiores según área (resistencias sumadas).</t>
  </si>
  <si>
    <t xml:space="preserve">• Grupo de alma con excentricidad e al centro del grupo de un lado; método elástico.</t>
  </si>
  <si>
    <t xml:space="preserve">• Deslizamiento crítico: J3.8 a nivel de resistencia (φ = 1.0, agujeros estándar, hf = 1.0), más corte y aplastamiento.</t>
  </si>
  <si>
    <t xml:space="preserve">Filas (verticales) nr</t>
  </si>
  <si>
    <t xml:space="preserve">• No incluye: carga axial en la viga, empalmes soldados, requisitos sísmicos de AISC 341 para empalmes.</t>
  </si>
  <si>
    <t xml:space="preserve">Columnas por lado nc</t>
  </si>
  <si>
    <t xml:space="preserve">• Herramienta de apoyo: la responsabilidad del diseño es del ingeniero que la usa.</t>
  </si>
  <si>
    <t xml:space="preserve">Paso vertical sv</t>
  </si>
  <si>
    <t xml:space="preserve">Paso horizontal sh</t>
  </si>
  <si>
    <t xml:space="preserve">Borde en la viga (columna → extremo)</t>
  </si>
  <si>
    <t xml:space="preserve">Borde horizontal en la placa</t>
  </si>
  <si>
    <t xml:space="preserve">HOJA DE CÁLCULO — memoria detallada (no editar)</t>
  </si>
  <si>
    <t xml:space="preserve">Unidades: kgf, cm. Grupo de pernos de alma excéntrico por método elástico (conservador). φ según AISC 360-16.</t>
  </si>
  <si>
    <t xml:space="preserve">0. GEOMETRÍA</t>
  </si>
  <si>
    <t xml:space="preserve">d</t>
  </si>
  <si>
    <t xml:space="preserve">Peralte</t>
  </si>
  <si>
    <t xml:space="preserve">bf</t>
  </si>
  <si>
    <t xml:space="preserve">Ala</t>
  </si>
  <si>
    <t xml:space="preserve">tw</t>
  </si>
  <si>
    <t xml:space="preserve">Alma</t>
  </si>
  <si>
    <t xml:space="preserve">tf</t>
  </si>
  <si>
    <t xml:space="preserve">k</t>
  </si>
  <si>
    <t xml:space="preserve">tf + filete</t>
  </si>
  <si>
    <t xml:space="preserve">Ix</t>
  </si>
  <si>
    <t xml:space="preserve">[bf·d³ − (bf − tw)(d − 2tf)³]/12</t>
  </si>
  <si>
    <t xml:space="preserve">cm⁴</t>
  </si>
  <si>
    <t xml:space="preserve">Sx</t>
  </si>
  <si>
    <t xml:space="preserve">Ix/(d/2)</t>
  </si>
  <si>
    <t xml:space="preserve">cm³</t>
  </si>
  <si>
    <t xml:space="preserve">Iw</t>
  </si>
  <si>
    <t xml:space="preserve">tw·(d − 2tf)³/12</t>
  </si>
  <si>
    <t xml:space="preserve">gap</t>
  </si>
  <si>
    <t xml:space="preserve">Holgura</t>
  </si>
  <si>
    <t xml:space="preserve">E</t>
  </si>
  <si>
    <t xml:space="preserve">Módulo de elasticidad</t>
  </si>
  <si>
    <t xml:space="preserve">SC</t>
  </si>
  <si>
    <t xml:space="preserve">1 = deslizamiento crítico</t>
  </si>
  <si>
    <t xml:space="preserve">μ</t>
  </si>
  <si>
    <t xml:space="preserve">0.30 clase A ; 0.50 clase B</t>
  </si>
  <si>
    <t xml:space="preserve">int.</t>
  </si>
  <si>
    <t xml:space="preserve">1 = placas interiores</t>
  </si>
  <si>
    <t xml:space="preserve">1. PERNOS Y PLACAS DE ALA</t>
  </si>
  <si>
    <t xml:space="preserve">db</t>
  </si>
  <si>
    <t xml:space="preserve">Diámetro pernos de ala</t>
  </si>
  <si>
    <t xml:space="preserve">in</t>
  </si>
  <si>
    <t xml:space="preserve">Ab</t>
  </si>
  <si>
    <t xml:space="preserve">π·db²/4</t>
  </si>
  <si>
    <t xml:space="preserve">cm²</t>
  </si>
  <si>
    <t xml:space="preserve">dh</t>
  </si>
  <si>
    <t xml:space="preserve">Agujero estándar (Tabla J3.3)</t>
  </si>
  <si>
    <t xml:space="preserve">dh,net</t>
  </si>
  <si>
    <t xml:space="preserve">dh + 1/16 in (B4.3b)</t>
  </si>
  <si>
    <t xml:space="preserve">Le,min</t>
  </si>
  <si>
    <t xml:space="preserve">Borde mínimo (Tabla J3.4)</t>
  </si>
  <si>
    <t xml:space="preserve">Fnv</t>
  </si>
  <si>
    <t xml:space="preserve">Resistencia a corte</t>
  </si>
  <si>
    <t xml:space="preserve">Tb</t>
  </si>
  <si>
    <t xml:space="preserve">Pretensión mínima (Tabla J3.1)</t>
  </si>
  <si>
    <t xml:space="preserve">kgf</t>
  </si>
  <si>
    <t xml:space="preserve">n</t>
  </si>
  <si>
    <t xml:space="preserve">Pernos por ala por lado = 2·filas</t>
  </si>
  <si>
    <t xml:space="preserve">ns</t>
  </si>
  <si>
    <t xml:space="preserve">Planos de corte</t>
  </si>
  <si>
    <t xml:space="preserve">φrn</t>
  </si>
  <si>
    <t xml:space="preserve">Por perno: aplastamiento 0.75·Fnv·Ab·ns ; deslizamiento 1.0·μ·1.13·Tb·ns</t>
  </si>
  <si>
    <t xml:space="preserve">φrn,v</t>
  </si>
  <si>
    <t xml:space="preserve">Corte del perno (se verifica también en juntas de deslizamiento crítico)</t>
  </si>
  <si>
    <t xml:space="preserve">Lc,ala</t>
  </si>
  <si>
    <t xml:space="preserve">mín(Le,viga − dh/2 ; s − dh)</t>
  </si>
  <si>
    <t xml:space="preserve">Lc,placa</t>
  </si>
  <si>
    <t xml:space="preserve">mín(Le,placa − dh/2 ; s − dh)</t>
  </si>
  <si>
    <t xml:space="preserve">Aplastamiento por perno en el ala: 0.75·mín(1.2Lc ; 2.4db)·tf·Fu</t>
  </si>
  <si>
    <t xml:space="preserve">Aplastamiento por perno en placas (exterior + interior)</t>
  </si>
  <si>
    <t xml:space="preserve">Ag</t>
  </si>
  <si>
    <t xml:space="preserve">bo·to + 2·bi·ti</t>
  </si>
  <si>
    <t xml:space="preserve">An</t>
  </si>
  <si>
    <t xml:space="preserve">mín([bo − 2dh,n]·to + 2[bi − dh,n]·ti ; 0.85Ag)</t>
  </si>
  <si>
    <t xml:space="preserve">φRn</t>
  </si>
  <si>
    <t xml:space="preserve">Fluencia en tracción 0.90·Fy·Ag</t>
  </si>
  <si>
    <t xml:space="preserve">Ruptura en tracción 0.75·Fu·An (J4.1)</t>
  </si>
  <si>
    <t xml:space="preserve">Bloque de cortante de placas: mín(bloques exteriores ; central) exterior + interiores (J4.3)</t>
  </si>
  <si>
    <t xml:space="preserve">KL/r</t>
  </si>
  <si>
    <t xml:space="preserve">0.65·(gap + 2·Le,viga)/(t,mín/√12)</t>
  </si>
  <si>
    <t xml:space="preserve">Fcr</t>
  </si>
  <si>
    <t xml:space="preserve">KL/r ≤ 25: Fy ; si no Cap. E</t>
  </si>
  <si>
    <t xml:space="preserve">φPn</t>
  </si>
  <si>
    <t xml:space="preserve">Compresión de placas 0.90·Fcr·Ag (J4.4)</t>
  </si>
  <si>
    <t xml:space="preserve">Bloque de cortante del ala de viga (bloques exteriores)</t>
  </si>
  <si>
    <t xml:space="preserve">Yt</t>
  </si>
  <si>
    <t xml:space="preserve">F13.1: 1.0 si Fy/Fu ≤ 0.8 ; 1.1</t>
  </si>
  <si>
    <t xml:space="preserve">Afn</t>
  </si>
  <si>
    <t xml:space="preserve">(bf − 2dh,n)·tf</t>
  </si>
  <si>
    <t xml:space="preserve">aplica</t>
  </si>
  <si>
    <t xml:space="preserve">1 si Fu·Afn &lt; Yt·Fy·Afg (F13.1 limita Mn)</t>
  </si>
  <si>
    <t xml:space="preserve">φMn</t>
  </si>
  <si>
    <t xml:space="preserve">0.90·Fu·Afn/Afg·Sx (F13.1)</t>
  </si>
  <si>
    <t xml:space="preserve">kgf·cm</t>
  </si>
  <si>
    <t xml:space="preserve">2. PERNOS Y PLACAS DE ALMA</t>
  </si>
  <si>
    <t xml:space="preserve">Diámetro pernos de alma</t>
  </si>
  <si>
    <t xml:space="preserve">Pernos por lado = nr·nc</t>
  </si>
  <si>
    <t xml:space="preserve">e</t>
  </si>
  <si>
    <t xml:space="preserve">gap/2 + Le,viga + (nc − 1)·sh/2</t>
  </si>
  <si>
    <t xml:space="preserve">Ip</t>
  </si>
  <si>
    <t xml:space="preserve">Σx² + Σy²</t>
  </si>
  <si>
    <t xml:space="preserve">xmáx</t>
  </si>
  <si>
    <t xml:space="preserve">sh·(nc − 1)/2</t>
  </si>
  <si>
    <t xml:space="preserve">ymáx</t>
  </si>
  <si>
    <t xml:space="preserve">sv·(nr − 1)/2</t>
  </si>
  <si>
    <t xml:space="preserve">Por perno (2 planos): 0.75·Fnv·Ab·2 ; deslizamiento 1.0·μ·1.13·Tb·2</t>
  </si>
  <si>
    <t xml:space="preserve">Corte del perno (2 planos)</t>
  </si>
  <si>
    <t xml:space="preserve">Lc,alma</t>
  </si>
  <si>
    <t xml:space="preserve">mín(Le,viga − dh/2 ; sv − dh ; sh − dh)</t>
  </si>
  <si>
    <t xml:space="preserve">mín(borde horiz. − dh/2 ; borde vert. − dh/2 ; pasos − dh)</t>
  </si>
  <si>
    <t xml:space="preserve">Aplastamiento por perno en el alma</t>
  </si>
  <si>
    <t xml:space="preserve">Aplastamiento por perno en las 2 placas</t>
  </si>
  <si>
    <t xml:space="preserve">φVn</t>
  </si>
  <si>
    <t xml:space="preserve">Placas: fluencia por corte 1.00·0.6·Fy·2·hp·t</t>
  </si>
  <si>
    <t xml:space="preserve">Placas: ruptura por corte 0.75·0.6·Fu·2·(hp − nr·dh,n)·t</t>
  </si>
  <si>
    <t xml:space="preserve">Placas: 0.90·Fy·2·t·hp²/4</t>
  </si>
  <si>
    <t xml:space="preserve">Bloque de cortante de placas de alma (2), J4.3</t>
  </si>
  <si>
    <t xml:space="preserve">Alma de viga: ruptura por corte en la línea de pernos 0.75·0.6·Fu·tw·(d − nr·dh,n)</t>
  </si>
  <si>
    <t xml:space="preserve">3. VERIFICACIÓN POR COMBINACIÓN</t>
  </si>
  <si>
    <t xml:space="preserve">Símbolo</t>
  </si>
  <si>
    <t xml:space="preserve">Descripción</t>
  </si>
  <si>
    <t xml:space="preserve">Nombre</t>
  </si>
  <si>
    <t xml:space="preserve">Mu</t>
  </si>
  <si>
    <t xml:space="preserve">|Momento|</t>
  </si>
  <si>
    <t xml:space="preserve">Vu</t>
  </si>
  <si>
    <t xml:space="preserve">|Cortante|</t>
  </si>
  <si>
    <t xml:space="preserve">activo</t>
  </si>
  <si>
    <t xml:space="preserve">Combinación con cargas</t>
  </si>
  <si>
    <t xml:space="preserve">Mw</t>
  </si>
  <si>
    <t xml:space="preserve">Momento en el alma</t>
  </si>
  <si>
    <t xml:space="preserve">Ff</t>
  </si>
  <si>
    <t xml:space="preserve">(Mu − Mw)/(d − tf)</t>
  </si>
  <si>
    <t xml:space="preserve">ratio</t>
  </si>
  <si>
    <t xml:space="preserve">Pernos de ala: corte o deslizamiento</t>
  </si>
  <si>
    <t xml:space="preserve">Pernos de ala: aplastamiento (ala y placas)</t>
  </si>
  <si>
    <t xml:space="preserve">Placas de ala: fluencia</t>
  </si>
  <si>
    <t xml:space="preserve">Placas de ala: ruptura</t>
  </si>
  <si>
    <t xml:space="preserve">Placas de ala: bloque de cortante</t>
  </si>
  <si>
    <t xml:space="preserve">Placas de ala: compresión</t>
  </si>
  <si>
    <t xml:space="preserve">Ala de viga: bloque de cortante</t>
  </si>
  <si>
    <t xml:space="preserve">Viga: F13.1 (agujeros en el ala en tracción)</t>
  </si>
  <si>
    <t xml:space="preserve">Mt</t>
  </si>
  <si>
    <t xml:space="preserve">Momento en el grupo de alma = Vu·e + Mw</t>
  </si>
  <si>
    <t xml:space="preserve">rmáx</t>
  </si>
  <si>
    <t xml:space="preserve">Perno crítico de alma (elástico)</t>
  </si>
  <si>
    <t xml:space="preserve">Pernos de alma: corte o deslizamiento</t>
  </si>
  <si>
    <t xml:space="preserve">Pernos de alma: aplastamiento</t>
  </si>
  <si>
    <t xml:space="preserve">Placas de alma: fluencia y ruptura por corte</t>
  </si>
  <si>
    <t xml:space="preserve">Placas de alma: (V/φVn)² + (M/φMn)²</t>
  </si>
  <si>
    <t xml:space="preserve">Placas de alma: bloque de cortante</t>
  </si>
  <si>
    <t xml:space="preserve">Alma de viga: ruptura por corte</t>
  </si>
  <si>
    <t xml:space="preserve">máx.</t>
  </si>
  <si>
    <t xml:space="preserve">CATÁLOGOS — ampliables agregando filas dentro de cada rango</t>
  </si>
  <si>
    <t xml:space="preserve">Perfiles (VK/HA: KUBIEC; W: AISC; ARMADO: medidas manuales)</t>
  </si>
  <si>
    <t xml:space="preserve">Aceros (kgf/cm²)</t>
  </si>
  <si>
    <t xml:space="preserve">Pernos (kgf/cm²) — Tabla J3.2 ; grupo para Tb</t>
  </si>
  <si>
    <t xml:space="preserve">Diámetros — borde mín. J3.4 ; Tb (kgf) Tabla J3.1</t>
  </si>
  <si>
    <t xml:space="preserve">Electrodo</t>
  </si>
  <si>
    <t xml:space="preserve">Opción</t>
  </si>
  <si>
    <t xml:space="preserve">Tipo de junta apernada</t>
  </si>
  <si>
    <t xml:space="preserve">Espesores (mm)</t>
  </si>
  <si>
    <t xml:space="preserve">Perfil</t>
  </si>
  <si>
    <t xml:space="preserve">Fy</t>
  </si>
  <si>
    <t xml:space="preserve">Fu</t>
  </si>
  <si>
    <t xml:space="preserve">Grupo</t>
  </si>
  <si>
    <t xml:space="preserve">Ø</t>
  </si>
  <si>
    <t xml:space="preserve">db (in)</t>
  </si>
  <si>
    <t xml:space="preserve">borde (in)</t>
  </si>
  <si>
    <t xml:space="preserve">Tb A325</t>
  </si>
  <si>
    <t xml:space="preserve">Tb A490</t>
  </si>
  <si>
    <t xml:space="preserve">FEXX</t>
  </si>
  <si>
    <t xml:space="preserve">Sí/No</t>
  </si>
  <si>
    <t xml:space="preserve">Junta</t>
  </si>
  <si>
    <t xml:space="preserve">t</t>
  </si>
  <si>
    <t xml:space="preserve">ARMADO (flejes soldados)</t>
  </si>
  <si>
    <t xml:space="preserve">A</t>
  </si>
  <si>
    <t xml:space="preserve">5/8"</t>
  </si>
  <si>
    <t xml:space="preserve">E60XX</t>
  </si>
  <si>
    <t xml:space="preserve">VK250X130X4X8</t>
  </si>
  <si>
    <t xml:space="preserve">A325-X (roscas excl.)</t>
  </si>
  <si>
    <t xml:space="preserve">E70XX</t>
  </si>
  <si>
    <t xml:space="preserve">No</t>
  </si>
  <si>
    <t xml:space="preserve">Deslizamiento crítico clase A (μ = 0.30)</t>
  </si>
  <si>
    <t xml:space="preserve">VK300X150X4X10</t>
  </si>
  <si>
    <t xml:space="preserve">A992</t>
  </si>
  <si>
    <t xml:space="preserve">A490-N (roscas incl.)</t>
  </si>
  <si>
    <t xml:space="preserve">B</t>
  </si>
  <si>
    <t xml:space="preserve">7/8"</t>
  </si>
  <si>
    <t xml:space="preserve">Deslizamiento crítico clase B (μ = 0.50)</t>
  </si>
  <si>
    <t xml:space="preserve">VK330X160X6X10</t>
  </si>
  <si>
    <t xml:space="preserve">A588 Gr50</t>
  </si>
  <si>
    <t xml:space="preserve">A490-X (roscas excl.)</t>
  </si>
  <si>
    <t xml:space="preserve">1"</t>
  </si>
  <si>
    <t xml:space="preserve">VK360X180X6X10</t>
  </si>
  <si>
    <t xml:space="preserve">1-1/8"</t>
  </si>
  <si>
    <t xml:space="preserve">VK400X180X6X10</t>
  </si>
  <si>
    <t xml:space="preserve">1-1/4"</t>
  </si>
  <si>
    <t xml:space="preserve">VK420X180X6X12</t>
  </si>
  <si>
    <t xml:space="preserve">VK440X180X6X12</t>
  </si>
  <si>
    <t xml:space="preserve">HA200X140X6X12</t>
  </si>
  <si>
    <t xml:space="preserve">HA240X180X6X12</t>
  </si>
  <si>
    <t xml:space="preserve">HA300X180X6X12</t>
  </si>
  <si>
    <t xml:space="preserve">HA360X180X6X12</t>
  </si>
  <si>
    <t xml:space="preserve">HA380X200X8X15</t>
  </si>
  <si>
    <t xml:space="preserve">HA400X200X8X15</t>
  </si>
  <si>
    <t xml:space="preserve">HA420X210X8X15</t>
  </si>
  <si>
    <t xml:space="preserve">HA440X220X8X15</t>
  </si>
  <si>
    <t xml:space="preserve">HA460X230X8X15</t>
  </si>
  <si>
    <t xml:space="preserve">HA480X240X8X15</t>
  </si>
  <si>
    <t xml:space="preserve">HA500X250X10X15</t>
  </si>
  <si>
    <t xml:space="preserve">HA520X260X10X15</t>
  </si>
  <si>
    <t xml:space="preserve">HA540X270X10X15</t>
  </si>
  <si>
    <t xml:space="preserve">W8X31</t>
  </si>
  <si>
    <t xml:space="preserve">W10X49</t>
  </si>
  <si>
    <t xml:space="preserve">W12X65</t>
  </si>
  <si>
    <t xml:space="preserve">W14X90</t>
  </si>
  <si>
    <t xml:space="preserve">W14X120</t>
  </si>
  <si>
    <t xml:space="preserve">W16X40</t>
  </si>
  <si>
    <t xml:space="preserve">W18X50</t>
  </si>
  <si>
    <t xml:space="preserve">W21X62</t>
  </si>
  <si>
    <t xml:space="preserve">W24X76</t>
  </si>
  <si>
    <t xml:space="preserve">Coordenadas de las vistas (normalizadas a ±1). No editar.</t>
  </si>
  <si>
    <t xml:space="preserve">Viga izq</t>
  </si>
  <si>
    <t xml:space="preserve">Alas int izq</t>
  </si>
  <si>
    <t xml:space="preserve">Alas int2 izq</t>
  </si>
  <si>
    <t xml:space="preserve">Viga der</t>
  </si>
  <si>
    <t xml:space="preserve">Alas int der</t>
  </si>
  <si>
    <t xml:space="preserve">Alas int2 der</t>
  </si>
  <si>
    <t xml:space="preserve">Placa ext sup</t>
  </si>
  <si>
    <t xml:space="preserve">Placa ext inf</t>
  </si>
  <si>
    <t xml:space="preserve">Placa int sup</t>
  </si>
  <si>
    <t xml:space="preserve">Placa int inf</t>
  </si>
  <si>
    <t xml:space="preserve">Placa alma</t>
  </si>
  <si>
    <t xml:space="preserve">Pernos ala</t>
  </si>
  <si>
    <t xml:space="preserve">Pernos alma</t>
  </si>
  <si>
    <t xml:space="preserve">Viga</t>
  </si>
  <si>
    <t xml:space="preserve">Ext sup</t>
  </si>
  <si>
    <t xml:space="preserve">Ext inf</t>
  </si>
  <si>
    <t xml:space="preserve">Int sup</t>
  </si>
  <si>
    <t xml:space="preserve">Int inf</t>
  </si>
  <si>
    <t xml:space="preserve">Int sup-</t>
  </si>
  <si>
    <t xml:space="preserve">Int inf-</t>
  </si>
  <si>
    <t xml:space="preserve">Alma der</t>
  </si>
  <si>
    <t xml:space="preserve">Alma izq</t>
  </si>
  <si>
    <t xml:space="preserve">Largo placa de ala</t>
  </si>
  <si>
    <t xml:space="preserve">Ancho placa de alma</t>
  </si>
  <si>
    <t xml:space="preserve">Largo de viga dibujado (semi)</t>
  </si>
  <si>
    <t xml:space="preserve">S elevación</t>
  </si>
  <si>
    <t xml:space="preserve">S sección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</si>
</sst>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"/>
    <numFmt numFmtId="167" formatCode="0"/>
    <numFmt numFmtId="168" formatCode="General"/>
    <numFmt numFmtId="169" formatCode="0.000"/>
    <numFmt numFmtId="170" formatCode=";;;"/>
    <numFmt numFmtId="171" formatCode="@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14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8.5"/>
      <name val="Arial"/>
      <family val="0"/>
      <charset val="1"/>
    </font>
    <font>
      <b val="true"/>
      <sz val="8.5"/>
      <color rgb="FF1F2A44"/>
      <name val="Arial"/>
      <family val="0"/>
      <charset val="1"/>
    </font>
    <font>
      <sz val="7.5"/>
      <color rgb="FF555555"/>
      <name val="Arial"/>
      <family val="0"/>
      <charset val="1"/>
    </font>
    <font>
      <b val="true"/>
      <sz val="9"/>
      <name val="Arial"/>
      <family val="0"/>
      <charset val="1"/>
    </font>
    <font>
      <b val="true"/>
      <sz val="8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7.5"/>
      <name val="Arial"/>
      <family val="0"/>
      <charset val="1"/>
    </font>
    <font>
      <sz val="8"/>
      <color rgb="FF999999"/>
      <name val="Arial"/>
      <family val="0"/>
      <charset val="1"/>
    </font>
    <font>
      <sz val="8.5"/>
      <name val="Arial"/>
      <family val="0"/>
      <charset val="1"/>
    </font>
    <font>
      <sz val="8"/>
      <name val="Arial"/>
      <family val="0"/>
      <charset val="1"/>
    </font>
    <font>
      <sz val="10"/>
      <name val="Arial"/>
      <family val="2"/>
    </font>
    <font>
      <sz val="10"/>
      <color rgb="FF000000"/>
      <name val="Calibri"/>
      <family val="2"/>
    </font>
    <font>
      <b val="true"/>
      <sz val="12"/>
      <color rgb="FF1F2A44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color rgb="FF1F2A4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A44"/>
        <bgColor rgb="FF2E3D5C"/>
      </patternFill>
    </fill>
    <fill>
      <patternFill patternType="solid">
        <fgColor rgb="FF2E3D5C"/>
        <bgColor rgb="FF404040"/>
      </patternFill>
    </fill>
    <fill>
      <patternFill patternType="solid">
        <fgColor rgb="FFFFF7D6"/>
        <bgColor rgb="FFF2F4F7"/>
      </patternFill>
    </fill>
    <fill>
      <patternFill patternType="solid">
        <fgColor rgb="FFF2F4F7"/>
        <bgColor rgb="FFFFFFFF"/>
      </patternFill>
    </fill>
    <fill>
      <patternFill patternType="solid">
        <fgColor rgb="FFD9DDE3"/>
        <bgColor rgb="FFD9D9D9"/>
      </patternFill>
    </fill>
    <fill>
      <patternFill patternType="solid">
        <fgColor rgb="FFE4E9F2"/>
        <bgColor rgb="FFE7E7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4BAC4"/>
      </left>
      <right style="thin">
        <color rgb="FFB4BAC4"/>
      </right>
      <top style="thin">
        <color rgb="FFB4BAC4"/>
      </top>
      <bottom style="thin">
        <color rgb="FFB4BAC4"/>
      </bottom>
      <diagonal/>
    </border>
    <border diagonalUp="false" diagonalDown="false">
      <left style="thin">
        <color rgb="FFB4BAC4"/>
      </left>
      <right/>
      <top style="thin">
        <color rgb="FFB4BAC4"/>
      </top>
      <bottom style="thin">
        <color rgb="FFB4BA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color rgb="FFA0A0A0"/>
      </font>
      <fill>
        <patternFill>
          <bgColor rgb="FFE7E7E7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666666"/>
      </font>
      <fill>
        <patternFill>
          <bgColor rgb="FFD9DDE3"/>
        </patternFill>
      </fill>
    </dxf>
    <dxf>
      <font>
        <name val="Arial"/>
        <charset val="1"/>
        <family val="0"/>
        <b val="1"/>
        <color rgb="FFFFFFFF"/>
        <sz val="14"/>
      </font>
      <fill>
        <patternFill>
          <bgColor rgb="FFC00000"/>
        </patternFill>
      </fill>
    </dxf>
    <dxf>
      <font>
        <name val="Arial"/>
        <charset val="1"/>
        <family val="0"/>
        <b val="1"/>
        <color rgb="FF000000"/>
        <sz val="14"/>
      </font>
      <fill>
        <patternFill>
          <bgColor rgb="FFFFC000"/>
        </patternFill>
      </fill>
    </dxf>
    <dxf>
      <font>
        <name val="Arial"/>
        <charset val="1"/>
        <family val="0"/>
        <b val="1"/>
        <color rgb="FFFFFFFF"/>
        <sz val="14"/>
      </font>
      <fill>
        <patternFill>
          <bgColor rgb="FF00B05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4BAC4"/>
      <rgbColor rgb="FFA0A0A0"/>
      <rgbColor rgb="FF9999FF"/>
      <rgbColor rgb="FF993366"/>
      <rgbColor rgb="FFFFF7D6"/>
      <rgbColor rgb="FFE4E9F2"/>
      <rgbColor rgb="FF660066"/>
      <rgbColor rgb="FFFF8080"/>
      <rgbColor rgb="FF2F5597"/>
      <rgbColor rgb="FFD9DD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7"/>
      <rgbColor rgb="FFC6EFCE"/>
      <rgbColor rgb="FFFFEB9C"/>
      <rgbColor rgb="FFD9D9D9"/>
      <rgbColor rgb="FFE7E7E7"/>
      <rgbColor rgb="FFCC99FF"/>
      <rgbColor rgb="FFFFC7CE"/>
      <rgbColor rgb="FF3366FF"/>
      <rgbColor rgb="FF33CCCC"/>
      <rgbColor rgb="FF99CC00"/>
      <rgbColor rgb="FFFFC000"/>
      <rgbColor rgb="FFBF9000"/>
      <rgbColor rgb="FFFF6600"/>
      <rgbColor rgb="FF666666"/>
      <rgbColor rgb="FF999999"/>
      <rgbColor rgb="FF1F2A44"/>
      <rgbColor rgb="FF00B050"/>
      <rgbColor rgb="FF003300"/>
      <rgbColor rgb="FF555555"/>
      <rgbColor rgb="FF9C5700"/>
      <rgbColor rgb="FF993366"/>
      <rgbColor rgb="FF2E3D5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"Viga izq"</c:f>
              <c:strCache>
                <c:ptCount val="1"/>
                <c:pt idx="0">
                  <c:v>Viga izq</c:v>
                </c:pt>
              </c:strCache>
            </c:strRef>
          </c:tx>
          <c:spPr>
            <a:solidFill>
              <a:srgbClr val="1f2a44"/>
            </a:solidFill>
            <a:ln w="19080">
              <a:solidFill>
                <a:srgbClr val="1f2a4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DIBUJO!$D$4:$D$7</c:f>
              <c:numCache>
                <c:formatCode>General</c:formatCode>
                <c:ptCount val="4"/>
                <c:pt idx="0">
                  <c:v>-0.952380952380952</c:v>
                </c:pt>
                <c:pt idx="1">
                  <c:v>-0.0109469074986316</c:v>
                </c:pt>
                <c:pt idx="2">
                  <c:v>-0.0109469074986316</c:v>
                </c:pt>
                <c:pt idx="3">
                  <c:v>-0.952380952380952</c:v>
                </c:pt>
              </c:numCache>
            </c:numRef>
          </c:xVal>
          <c:yVal>
            <c:numRef>
              <c:f>DIBUJO!$E$4:$E$7</c:f>
              <c:numCache>
                <c:formatCode>General</c:formatCode>
                <c:ptCount val="4"/>
                <c:pt idx="0">
                  <c:v>0.437876299945265</c:v>
                </c:pt>
                <c:pt idx="1">
                  <c:v>0.437876299945265</c:v>
                </c:pt>
                <c:pt idx="2">
                  <c:v>-0.437876299945265</c:v>
                </c:pt>
                <c:pt idx="3">
                  <c:v>-0.437876299945265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"Alas int izq"</c:f>
              <c:strCache>
                <c:ptCount val="1"/>
                <c:pt idx="0">
                  <c:v>Alas int izq</c:v>
                </c:pt>
              </c:strCache>
            </c:strRef>
          </c:tx>
          <c:spPr>
            <a:solidFill>
              <a:srgbClr val="1f2a44"/>
            </a:solidFill>
            <a:ln w="19080">
              <a:solidFill>
                <a:srgbClr val="1f2a4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DIBUJO!$G$4:$G$5</c:f>
              <c:numCache>
                <c:formatCode>General</c:formatCode>
                <c:ptCount val="2"/>
                <c:pt idx="0">
                  <c:v>-0.952380952380952</c:v>
                </c:pt>
                <c:pt idx="1">
                  <c:v>-0.0109469074986316</c:v>
                </c:pt>
              </c:numCache>
            </c:numRef>
          </c:xVal>
          <c:yVal>
            <c:numRef>
              <c:f>DIBUJO!$H$4:$H$5</c:f>
              <c:numCache>
                <c:formatCode>General</c:formatCode>
                <c:ptCount val="2"/>
                <c:pt idx="0">
                  <c:v>0.41160372194855</c:v>
                </c:pt>
                <c:pt idx="1">
                  <c:v>0.41160372194855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"Alas int2 izq"</c:f>
              <c:strCache>
                <c:ptCount val="1"/>
                <c:pt idx="0">
                  <c:v>Alas int2 izq</c:v>
                </c:pt>
              </c:strCache>
            </c:strRef>
          </c:tx>
          <c:spPr>
            <a:solidFill>
              <a:srgbClr val="1f2a44"/>
            </a:solidFill>
            <a:ln w="19080">
              <a:solidFill>
                <a:srgbClr val="1f2a4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DIBUJO!$J$4:$J$5</c:f>
              <c:numCache>
                <c:formatCode>General</c:formatCode>
                <c:ptCount val="2"/>
                <c:pt idx="0">
                  <c:v>-0.952380952380952</c:v>
                </c:pt>
                <c:pt idx="1">
                  <c:v>-0.0109469074986316</c:v>
                </c:pt>
              </c:numCache>
            </c:numRef>
          </c:xVal>
          <c:yVal>
            <c:numRef>
              <c:f>DIBUJO!$K$4:$K$5</c:f>
              <c:numCache>
                <c:formatCode>General</c:formatCode>
                <c:ptCount val="2"/>
                <c:pt idx="0">
                  <c:v>-0.41160372194855</c:v>
                </c:pt>
                <c:pt idx="1">
                  <c:v>-0.41160372194855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"Viga der"</c:f>
              <c:strCache>
                <c:ptCount val="1"/>
                <c:pt idx="0">
                  <c:v>Viga der</c:v>
                </c:pt>
              </c:strCache>
            </c:strRef>
          </c:tx>
          <c:spPr>
            <a:solidFill>
              <a:srgbClr val="1f2a44"/>
            </a:solidFill>
            <a:ln w="19080">
              <a:solidFill>
                <a:srgbClr val="1f2a4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DIBUJO!$M$4:$M$7</c:f>
              <c:numCache>
                <c:formatCode>General</c:formatCode>
                <c:ptCount val="4"/>
                <c:pt idx="0">
                  <c:v>0.952380952380952</c:v>
                </c:pt>
                <c:pt idx="1">
                  <c:v>0.0109469074986316</c:v>
                </c:pt>
                <c:pt idx="2">
                  <c:v>0.0109469074986316</c:v>
                </c:pt>
                <c:pt idx="3">
                  <c:v>0.952380952380952</c:v>
                </c:pt>
              </c:numCache>
            </c:numRef>
          </c:xVal>
          <c:yVal>
            <c:numRef>
              <c:f>DIBUJO!$N$4:$N$7</c:f>
              <c:numCache>
                <c:formatCode>General</c:formatCode>
                <c:ptCount val="4"/>
                <c:pt idx="0">
                  <c:v>0.437876299945265</c:v>
                </c:pt>
                <c:pt idx="1">
                  <c:v>0.437876299945265</c:v>
                </c:pt>
                <c:pt idx="2">
                  <c:v>-0.437876299945265</c:v>
                </c:pt>
                <c:pt idx="3">
                  <c:v>-0.437876299945265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"Alas int der"</c:f>
              <c:strCache>
                <c:ptCount val="1"/>
                <c:pt idx="0">
                  <c:v>Alas int der</c:v>
                </c:pt>
              </c:strCache>
            </c:strRef>
          </c:tx>
          <c:spPr>
            <a:solidFill>
              <a:srgbClr val="1f2a44"/>
            </a:solidFill>
            <a:ln w="19080">
              <a:solidFill>
                <a:srgbClr val="1f2a4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DIBUJO!$P$4:$P$5</c:f>
              <c:numCache>
                <c:formatCode>General</c:formatCode>
                <c:ptCount val="2"/>
                <c:pt idx="0">
                  <c:v>0.952380952380952</c:v>
                </c:pt>
                <c:pt idx="1">
                  <c:v>0.0109469074986316</c:v>
                </c:pt>
              </c:numCache>
            </c:numRef>
          </c:xVal>
          <c:yVal>
            <c:numRef>
              <c:f>DIBUJO!$Q$4:$Q$5</c:f>
              <c:numCache>
                <c:formatCode>General</c:formatCode>
                <c:ptCount val="2"/>
                <c:pt idx="0">
                  <c:v>0.41160372194855</c:v>
                </c:pt>
                <c:pt idx="1">
                  <c:v>0.41160372194855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"Alas int2 der"</c:f>
              <c:strCache>
                <c:ptCount val="1"/>
                <c:pt idx="0">
                  <c:v>Alas int2 der</c:v>
                </c:pt>
              </c:strCache>
            </c:strRef>
          </c:tx>
          <c:spPr>
            <a:solidFill>
              <a:srgbClr val="1f2a44"/>
            </a:solidFill>
            <a:ln w="19080">
              <a:solidFill>
                <a:srgbClr val="1f2a4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DIBUJO!$S$4:$S$5</c:f>
              <c:numCache>
                <c:formatCode>General</c:formatCode>
                <c:ptCount val="2"/>
                <c:pt idx="0">
                  <c:v>0.952380952380952</c:v>
                </c:pt>
                <c:pt idx="1">
                  <c:v>0.0109469074986316</c:v>
                </c:pt>
              </c:numCache>
            </c:numRef>
          </c:xVal>
          <c:yVal>
            <c:numRef>
              <c:f>DIBUJO!$T$4:$T$5</c:f>
              <c:numCache>
                <c:formatCode>General</c:formatCode>
                <c:ptCount val="2"/>
                <c:pt idx="0">
                  <c:v>-0.41160372194855</c:v>
                </c:pt>
                <c:pt idx="1">
                  <c:v>-0.41160372194855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"Placa ext sup"</c:f>
              <c:strCache>
                <c:ptCount val="1"/>
                <c:pt idx="0">
                  <c:v>Placa ext sup</c:v>
                </c:pt>
              </c:strCache>
            </c:strRef>
          </c:tx>
          <c:spPr>
            <a:solidFill>
              <a:srgbClr val="2f5597"/>
            </a:solidFill>
            <a:ln w="2556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DIBUJO!$V$4:$V$8</c:f>
              <c:numCache>
                <c:formatCode>General</c:formatCode>
                <c:ptCount val="5"/>
                <c:pt idx="0">
                  <c:v>-0.514504652435687</c:v>
                </c:pt>
                <c:pt idx="1">
                  <c:v>-0.514504652435687</c:v>
                </c:pt>
                <c:pt idx="2">
                  <c:v>0.514504652435687</c:v>
                </c:pt>
                <c:pt idx="3">
                  <c:v>0.514504652435687</c:v>
                </c:pt>
                <c:pt idx="4">
                  <c:v>-0.514504652435687</c:v>
                </c:pt>
              </c:numCache>
            </c:numRef>
          </c:xVal>
          <c:yVal>
            <c:numRef>
              <c:f>DIBUJO!$W$4:$W$8</c:f>
              <c:numCache>
                <c:formatCode>General</c:formatCode>
                <c:ptCount val="5"/>
                <c:pt idx="0">
                  <c:v>0.437876299945265</c:v>
                </c:pt>
                <c:pt idx="1">
                  <c:v>0.464148877941981</c:v>
                </c:pt>
                <c:pt idx="2">
                  <c:v>0.464148877941981</c:v>
                </c:pt>
                <c:pt idx="3">
                  <c:v>0.437876299945265</c:v>
                </c:pt>
                <c:pt idx="4">
                  <c:v>0.437876299945265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"Placa ext inf"</c:f>
              <c:strCache>
                <c:ptCount val="1"/>
                <c:pt idx="0">
                  <c:v>Placa ext inf</c:v>
                </c:pt>
              </c:strCache>
            </c:strRef>
          </c:tx>
          <c:spPr>
            <a:solidFill>
              <a:srgbClr val="2f5597"/>
            </a:solidFill>
            <a:ln w="2556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DIBUJO!$Y$4:$Y$8</c:f>
              <c:numCache>
                <c:formatCode>General</c:formatCode>
                <c:ptCount val="5"/>
                <c:pt idx="0">
                  <c:v>-0.514504652435687</c:v>
                </c:pt>
                <c:pt idx="1">
                  <c:v>-0.514504652435687</c:v>
                </c:pt>
                <c:pt idx="2">
                  <c:v>0.514504652435687</c:v>
                </c:pt>
                <c:pt idx="3">
                  <c:v>0.514504652435687</c:v>
                </c:pt>
                <c:pt idx="4">
                  <c:v>-0.514504652435687</c:v>
                </c:pt>
              </c:numCache>
            </c:numRef>
          </c:xVal>
          <c:yVal>
            <c:numRef>
              <c:f>DIBUJO!$Z$4:$Z$8</c:f>
              <c:numCache>
                <c:formatCode>General</c:formatCode>
                <c:ptCount val="5"/>
                <c:pt idx="0">
                  <c:v>-0.464148877941981</c:v>
                </c:pt>
                <c:pt idx="1">
                  <c:v>-0.437876299945265</c:v>
                </c:pt>
                <c:pt idx="2">
                  <c:v>-0.437876299945265</c:v>
                </c:pt>
                <c:pt idx="3">
                  <c:v>-0.464148877941981</c:v>
                </c:pt>
                <c:pt idx="4">
                  <c:v>-0.464148877941981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"Placa int sup"</c:f>
              <c:strCache>
                <c:ptCount val="1"/>
                <c:pt idx="0">
                  <c:v>Placa int sup</c:v>
                </c:pt>
              </c:strCache>
            </c:strRef>
          </c:tx>
          <c:spPr>
            <a:solidFill>
              <a:srgbClr val="bf9000"/>
            </a:solidFill>
            <a:ln w="19080">
              <a:solidFill>
                <a:srgbClr val="bf9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DIBUJO!$AB$4:$AB$8</c:f>
              <c:numCache>
                <c:formatCode>General</c:formatCode>
                <c:ptCount val="5"/>
                <c:pt idx="0">
                  <c:v>-0.514504652435687</c:v>
                </c:pt>
                <c:pt idx="1">
                  <c:v>-0.514504652435687</c:v>
                </c:pt>
                <c:pt idx="2">
                  <c:v>0.514504652435687</c:v>
                </c:pt>
                <c:pt idx="3">
                  <c:v>0.514504652435687</c:v>
                </c:pt>
                <c:pt idx="4">
                  <c:v>-0.514504652435687</c:v>
                </c:pt>
              </c:numCache>
            </c:numRef>
          </c:xVal>
          <c:yVal>
            <c:numRef>
              <c:f>DIBUJO!$AC$4:$AC$8</c:f>
              <c:numCache>
                <c:formatCode>General</c:formatCode>
                <c:ptCount val="5"/>
                <c:pt idx="0">
                  <c:v>0.389709906951286</c:v>
                </c:pt>
                <c:pt idx="1">
                  <c:v>0.41160372194855</c:v>
                </c:pt>
                <c:pt idx="2">
                  <c:v>0.41160372194855</c:v>
                </c:pt>
                <c:pt idx="3">
                  <c:v>0.389709906951286</c:v>
                </c:pt>
                <c:pt idx="4">
                  <c:v>0.389709906951286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"Placa int inf"</c:f>
              <c:strCache>
                <c:ptCount val="1"/>
                <c:pt idx="0">
                  <c:v>Placa int inf</c:v>
                </c:pt>
              </c:strCache>
            </c:strRef>
          </c:tx>
          <c:spPr>
            <a:solidFill>
              <a:srgbClr val="bf9000"/>
            </a:solidFill>
            <a:ln w="19080">
              <a:solidFill>
                <a:srgbClr val="bf9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DIBUJO!$AE$4:$AE$8</c:f>
              <c:numCache>
                <c:formatCode>General</c:formatCode>
                <c:ptCount val="5"/>
                <c:pt idx="0">
                  <c:v>-0.514504652435687</c:v>
                </c:pt>
                <c:pt idx="1">
                  <c:v>-0.514504652435687</c:v>
                </c:pt>
                <c:pt idx="2">
                  <c:v>0.514504652435687</c:v>
                </c:pt>
                <c:pt idx="3">
                  <c:v>0.514504652435687</c:v>
                </c:pt>
                <c:pt idx="4">
                  <c:v>-0.514504652435687</c:v>
                </c:pt>
              </c:numCache>
            </c:numRef>
          </c:xVal>
          <c:yVal>
            <c:numRef>
              <c:f>DIBUJO!$AF$4:$AF$8</c:f>
              <c:numCache>
                <c:formatCode>General</c:formatCode>
                <c:ptCount val="5"/>
                <c:pt idx="0">
                  <c:v>-0.41160372194855</c:v>
                </c:pt>
                <c:pt idx="1">
                  <c:v>-0.389709906951286</c:v>
                </c:pt>
                <c:pt idx="2">
                  <c:v>-0.389709906951286</c:v>
                </c:pt>
                <c:pt idx="3">
                  <c:v>-0.41160372194855</c:v>
                </c:pt>
                <c:pt idx="4">
                  <c:v>-0.41160372194855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"Placa alma"</c:f>
              <c:strCache>
                <c:ptCount val="1"/>
                <c:pt idx="0">
                  <c:v>Placa alma</c:v>
                </c:pt>
              </c:strCache>
            </c:strRef>
          </c:tx>
          <c:spPr>
            <a:solidFill>
              <a:srgbClr val="2f5597"/>
            </a:solidFill>
            <a:ln w="1908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DIBUJO!$AH$4:$AH$8</c:f>
              <c:numCache>
                <c:formatCode>General</c:formatCode>
                <c:ptCount val="5"/>
                <c:pt idx="0">
                  <c:v>-0.186097427476738</c:v>
                </c:pt>
                <c:pt idx="1">
                  <c:v>-0.186097427476738</c:v>
                </c:pt>
                <c:pt idx="2">
                  <c:v>0.186097427476738</c:v>
                </c:pt>
                <c:pt idx="3">
                  <c:v>0.186097427476738</c:v>
                </c:pt>
                <c:pt idx="4">
                  <c:v>-0.186097427476738</c:v>
                </c:pt>
              </c:numCache>
            </c:numRef>
          </c:xVal>
          <c:yVal>
            <c:numRef>
              <c:f>DIBUJO!$AI$4:$AI$8</c:f>
              <c:numCache>
                <c:formatCode>General</c:formatCode>
                <c:ptCount val="5"/>
                <c:pt idx="0">
                  <c:v>-0.306513409961686</c:v>
                </c:pt>
                <c:pt idx="1">
                  <c:v>0.306513409961686</c:v>
                </c:pt>
                <c:pt idx="2">
                  <c:v>0.306513409961686</c:v>
                </c:pt>
                <c:pt idx="3">
                  <c:v>-0.306513409961686</c:v>
                </c:pt>
                <c:pt idx="4">
                  <c:v>-0.306513409961686</c:v>
                </c:pt>
              </c:numCache>
            </c:numRef>
          </c:yVal>
          <c:smooth val="0"/>
        </c:ser>
        <c:ser>
          <c:idx val="11"/>
          <c:order val="11"/>
          <c:tx>
            <c:strRef>
              <c:f>"Pernos ala"</c:f>
              <c:strCache>
                <c:ptCount val="1"/>
                <c:pt idx="0">
                  <c:v>Pernos ala</c:v>
                </c:pt>
              </c:strCache>
            </c:strRef>
          </c:tx>
          <c:spPr>
            <a:solidFill>
              <a:srgbClr val="404040"/>
            </a:solidFill>
            <a:ln w="28440">
              <a:noFill/>
            </a:ln>
          </c:spPr>
          <c:marker>
            <c:symbol val="dash"/>
            <c:size val="9"/>
            <c:spPr>
              <a:solidFill>
                <a:srgbClr val="40404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DIBUJO!$AK$4:$AK$35</c:f>
              <c:numCache>
                <c:formatCode>General</c:formatCode>
                <c:ptCount val="32"/>
                <c:pt idx="0">
                  <c:v>-0.0985221674876847</c:v>
                </c:pt>
                <c:pt idx="1">
                  <c:v>-0.262725779967159</c:v>
                </c:pt>
                <c:pt idx="2">
                  <c:v>-0.426929392446634</c:v>
                </c:pt>
                <c:pt idx="3">
                  <c:v>-0.426929392446634</c:v>
                </c:pt>
                <c:pt idx="4">
                  <c:v>-0.426929392446634</c:v>
                </c:pt>
                <c:pt idx="5">
                  <c:v>-0.426929392446634</c:v>
                </c:pt>
                <c:pt idx="6">
                  <c:v>-0.426929392446634</c:v>
                </c:pt>
                <c:pt idx="7">
                  <c:v>-0.426929392446634</c:v>
                </c:pt>
                <c:pt idx="8">
                  <c:v>-0.0985221674876847</c:v>
                </c:pt>
                <c:pt idx="9">
                  <c:v>-0.262725779967159</c:v>
                </c:pt>
                <c:pt idx="10">
                  <c:v>-0.426929392446634</c:v>
                </c:pt>
                <c:pt idx="11">
                  <c:v>-0.426929392446634</c:v>
                </c:pt>
                <c:pt idx="12">
                  <c:v>-0.426929392446634</c:v>
                </c:pt>
                <c:pt idx="13">
                  <c:v>-0.426929392446634</c:v>
                </c:pt>
                <c:pt idx="14">
                  <c:v>-0.426929392446634</c:v>
                </c:pt>
                <c:pt idx="15">
                  <c:v>-0.426929392446634</c:v>
                </c:pt>
                <c:pt idx="16">
                  <c:v>0.0985221674876847</c:v>
                </c:pt>
                <c:pt idx="17">
                  <c:v>0.262725779967159</c:v>
                </c:pt>
                <c:pt idx="18">
                  <c:v>0.426929392446634</c:v>
                </c:pt>
                <c:pt idx="19">
                  <c:v>0.426929392446634</c:v>
                </c:pt>
                <c:pt idx="20">
                  <c:v>0.426929392446634</c:v>
                </c:pt>
                <c:pt idx="21">
                  <c:v>0.426929392446634</c:v>
                </c:pt>
                <c:pt idx="22">
                  <c:v>0.426929392446634</c:v>
                </c:pt>
                <c:pt idx="23">
                  <c:v>0.426929392446634</c:v>
                </c:pt>
                <c:pt idx="24">
                  <c:v>0.0985221674876847</c:v>
                </c:pt>
                <c:pt idx="25">
                  <c:v>0.262725779967159</c:v>
                </c:pt>
                <c:pt idx="26">
                  <c:v>0.426929392446634</c:v>
                </c:pt>
                <c:pt idx="27">
                  <c:v>0.426929392446634</c:v>
                </c:pt>
                <c:pt idx="28">
                  <c:v>0.426929392446634</c:v>
                </c:pt>
                <c:pt idx="29">
                  <c:v>0.426929392446634</c:v>
                </c:pt>
                <c:pt idx="30">
                  <c:v>0.426929392446634</c:v>
                </c:pt>
                <c:pt idx="31">
                  <c:v>0.426929392446634</c:v>
                </c:pt>
              </c:numCache>
            </c:numRef>
          </c:xVal>
          <c:yVal>
            <c:numRef>
              <c:f>DIBUJO!$AL$4:$AL$35</c:f>
              <c:numCache>
                <c:formatCode>General</c:formatCode>
                <c:ptCount val="32"/>
                <c:pt idx="0">
                  <c:v>0.437876299945265</c:v>
                </c:pt>
                <c:pt idx="1">
                  <c:v>0.437876299945265</c:v>
                </c:pt>
                <c:pt idx="2">
                  <c:v>0.437876299945265</c:v>
                </c:pt>
                <c:pt idx="3">
                  <c:v>0.437876299945265</c:v>
                </c:pt>
                <c:pt idx="4">
                  <c:v>0.437876299945265</c:v>
                </c:pt>
                <c:pt idx="5">
                  <c:v>0.437876299945265</c:v>
                </c:pt>
                <c:pt idx="6">
                  <c:v>0.437876299945265</c:v>
                </c:pt>
                <c:pt idx="7">
                  <c:v>0.437876299945265</c:v>
                </c:pt>
                <c:pt idx="8">
                  <c:v>-0.437876299945265</c:v>
                </c:pt>
                <c:pt idx="9">
                  <c:v>-0.437876299945265</c:v>
                </c:pt>
                <c:pt idx="10">
                  <c:v>-0.437876299945265</c:v>
                </c:pt>
                <c:pt idx="11">
                  <c:v>-0.437876299945265</c:v>
                </c:pt>
                <c:pt idx="12">
                  <c:v>-0.437876299945265</c:v>
                </c:pt>
                <c:pt idx="13">
                  <c:v>-0.437876299945265</c:v>
                </c:pt>
                <c:pt idx="14">
                  <c:v>-0.437876299945265</c:v>
                </c:pt>
                <c:pt idx="15">
                  <c:v>-0.437876299945265</c:v>
                </c:pt>
                <c:pt idx="16">
                  <c:v>0.437876299945265</c:v>
                </c:pt>
                <c:pt idx="17">
                  <c:v>0.437876299945265</c:v>
                </c:pt>
                <c:pt idx="18">
                  <c:v>0.437876299945265</c:v>
                </c:pt>
                <c:pt idx="19">
                  <c:v>0.437876299945265</c:v>
                </c:pt>
                <c:pt idx="20">
                  <c:v>0.437876299945265</c:v>
                </c:pt>
                <c:pt idx="21">
                  <c:v>0.437876299945265</c:v>
                </c:pt>
                <c:pt idx="22">
                  <c:v>0.437876299945265</c:v>
                </c:pt>
                <c:pt idx="23">
                  <c:v>0.437876299945265</c:v>
                </c:pt>
                <c:pt idx="24">
                  <c:v>-0.437876299945265</c:v>
                </c:pt>
                <c:pt idx="25">
                  <c:v>-0.437876299945265</c:v>
                </c:pt>
                <c:pt idx="26">
                  <c:v>-0.437876299945265</c:v>
                </c:pt>
                <c:pt idx="27">
                  <c:v>-0.437876299945265</c:v>
                </c:pt>
                <c:pt idx="28">
                  <c:v>-0.437876299945265</c:v>
                </c:pt>
                <c:pt idx="29">
                  <c:v>-0.437876299945265</c:v>
                </c:pt>
                <c:pt idx="30">
                  <c:v>-0.437876299945265</c:v>
                </c:pt>
                <c:pt idx="31">
                  <c:v>-0.437876299945265</c:v>
                </c:pt>
              </c:numCache>
            </c:numRef>
          </c:yVal>
          <c:smooth val="0"/>
        </c:ser>
        <c:ser>
          <c:idx val="12"/>
          <c:order val="12"/>
          <c:tx>
            <c:strRef>
              <c:f>"Pernos alma"</c:f>
              <c:strCache>
                <c:ptCount val="1"/>
                <c:pt idx="0">
                  <c:v>Pernos alma</c:v>
                </c:pt>
              </c:strCache>
            </c:strRef>
          </c:tx>
          <c:spPr>
            <a:solidFill>
              <a:srgbClr val="404040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40404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DIBUJO!$AN$4:$AN$51</c:f>
              <c:numCache>
                <c:formatCode>General</c:formatCode>
                <c:ptCount val="48"/>
                <c:pt idx="0">
                  <c:v>-0.0985221674876847</c:v>
                </c:pt>
                <c:pt idx="1">
                  <c:v>-0.0985221674876847</c:v>
                </c:pt>
                <c:pt idx="2">
                  <c:v>-0.0985221674876847</c:v>
                </c:pt>
                <c:pt idx="3">
                  <c:v>-0.0985221674876847</c:v>
                </c:pt>
                <c:pt idx="4">
                  <c:v>-0.0985221674876847</c:v>
                </c:pt>
                <c:pt idx="5">
                  <c:v>-0.0985221674876847</c:v>
                </c:pt>
                <c:pt idx="6">
                  <c:v>-0.0985221674876847</c:v>
                </c:pt>
                <c:pt idx="7">
                  <c:v>-0.0985221674876847</c:v>
                </c:pt>
                <c:pt idx="8">
                  <c:v>-0.0985221674876847</c:v>
                </c:pt>
                <c:pt idx="9">
                  <c:v>-0.0985221674876847</c:v>
                </c:pt>
                <c:pt idx="10">
                  <c:v>-0.0985221674876847</c:v>
                </c:pt>
                <c:pt idx="11">
                  <c:v>-0.0985221674876847</c:v>
                </c:pt>
                <c:pt idx="12">
                  <c:v>-0.0985221674876847</c:v>
                </c:pt>
                <c:pt idx="13">
                  <c:v>-0.0985221674876847</c:v>
                </c:pt>
                <c:pt idx="14">
                  <c:v>-0.0985221674876847</c:v>
                </c:pt>
                <c:pt idx="15">
                  <c:v>-0.0985221674876847</c:v>
                </c:pt>
                <c:pt idx="16">
                  <c:v>-0.0985221674876847</c:v>
                </c:pt>
                <c:pt idx="17">
                  <c:v>-0.0985221674876847</c:v>
                </c:pt>
                <c:pt idx="18">
                  <c:v>-0.0985221674876847</c:v>
                </c:pt>
                <c:pt idx="19">
                  <c:v>-0.0985221674876847</c:v>
                </c:pt>
                <c:pt idx="20">
                  <c:v>-0.0985221674876847</c:v>
                </c:pt>
                <c:pt idx="21">
                  <c:v>-0.0985221674876847</c:v>
                </c:pt>
                <c:pt idx="22">
                  <c:v>-0.0985221674876847</c:v>
                </c:pt>
                <c:pt idx="23">
                  <c:v>-0.0985221674876847</c:v>
                </c:pt>
                <c:pt idx="24">
                  <c:v>0.0985221674876847</c:v>
                </c:pt>
                <c:pt idx="25">
                  <c:v>0.0985221674876847</c:v>
                </c:pt>
                <c:pt idx="26">
                  <c:v>0.0985221674876847</c:v>
                </c:pt>
                <c:pt idx="27">
                  <c:v>0.0985221674876847</c:v>
                </c:pt>
                <c:pt idx="28">
                  <c:v>0.0985221674876847</c:v>
                </c:pt>
                <c:pt idx="29">
                  <c:v>0.0985221674876847</c:v>
                </c:pt>
                <c:pt idx="30">
                  <c:v>0.0985221674876847</c:v>
                </c:pt>
                <c:pt idx="31">
                  <c:v>0.0985221674876847</c:v>
                </c:pt>
                <c:pt idx="32">
                  <c:v>0.0985221674876847</c:v>
                </c:pt>
                <c:pt idx="33">
                  <c:v>0.0985221674876847</c:v>
                </c:pt>
                <c:pt idx="34">
                  <c:v>0.0985221674876847</c:v>
                </c:pt>
                <c:pt idx="35">
                  <c:v>0.0985221674876847</c:v>
                </c:pt>
                <c:pt idx="36">
                  <c:v>0.0985221674876847</c:v>
                </c:pt>
                <c:pt idx="37">
                  <c:v>0.0985221674876847</c:v>
                </c:pt>
                <c:pt idx="38">
                  <c:v>0.0985221674876847</c:v>
                </c:pt>
                <c:pt idx="39">
                  <c:v>0.0985221674876847</c:v>
                </c:pt>
                <c:pt idx="40">
                  <c:v>0.0985221674876847</c:v>
                </c:pt>
                <c:pt idx="41">
                  <c:v>0.0985221674876847</c:v>
                </c:pt>
                <c:pt idx="42">
                  <c:v>0.0985221674876847</c:v>
                </c:pt>
                <c:pt idx="43">
                  <c:v>0.0985221674876847</c:v>
                </c:pt>
                <c:pt idx="44">
                  <c:v>0.0985221674876847</c:v>
                </c:pt>
                <c:pt idx="45">
                  <c:v>0.0985221674876847</c:v>
                </c:pt>
                <c:pt idx="46">
                  <c:v>0.0985221674876847</c:v>
                </c:pt>
                <c:pt idx="47">
                  <c:v>0.0985221674876847</c:v>
                </c:pt>
              </c:numCache>
            </c:numRef>
          </c:xVal>
          <c:yVal>
            <c:numRef>
              <c:f>DIBUJO!$AO$4:$AO$51</c:f>
              <c:numCache>
                <c:formatCode>General</c:formatCode>
                <c:ptCount val="48"/>
                <c:pt idx="0">
                  <c:v>-0.164203612479475</c:v>
                </c:pt>
                <c:pt idx="1">
                  <c:v>0</c:v>
                </c:pt>
                <c:pt idx="2">
                  <c:v>0.164203612479475</c:v>
                </c:pt>
                <c:pt idx="3">
                  <c:v>0.164203612479475</c:v>
                </c:pt>
                <c:pt idx="4">
                  <c:v>0.164203612479475</c:v>
                </c:pt>
                <c:pt idx="5">
                  <c:v>0.164203612479475</c:v>
                </c:pt>
                <c:pt idx="6">
                  <c:v>0.164203612479475</c:v>
                </c:pt>
                <c:pt idx="7">
                  <c:v>0.164203612479475</c:v>
                </c:pt>
                <c:pt idx="8">
                  <c:v>-0.164203612479475</c:v>
                </c:pt>
                <c:pt idx="9">
                  <c:v>0</c:v>
                </c:pt>
                <c:pt idx="10">
                  <c:v>0.164203612479475</c:v>
                </c:pt>
                <c:pt idx="11">
                  <c:v>0.164203612479475</c:v>
                </c:pt>
                <c:pt idx="12">
                  <c:v>0.164203612479475</c:v>
                </c:pt>
                <c:pt idx="13">
                  <c:v>0.164203612479475</c:v>
                </c:pt>
                <c:pt idx="14">
                  <c:v>0.164203612479475</c:v>
                </c:pt>
                <c:pt idx="15">
                  <c:v>0.164203612479475</c:v>
                </c:pt>
                <c:pt idx="16">
                  <c:v>-0.164203612479475</c:v>
                </c:pt>
                <c:pt idx="17">
                  <c:v>0</c:v>
                </c:pt>
                <c:pt idx="18">
                  <c:v>0.164203612479475</c:v>
                </c:pt>
                <c:pt idx="19">
                  <c:v>0.164203612479475</c:v>
                </c:pt>
                <c:pt idx="20">
                  <c:v>0.164203612479475</c:v>
                </c:pt>
                <c:pt idx="21">
                  <c:v>0.164203612479475</c:v>
                </c:pt>
                <c:pt idx="22">
                  <c:v>0.164203612479475</c:v>
                </c:pt>
                <c:pt idx="23">
                  <c:v>0.164203612479475</c:v>
                </c:pt>
                <c:pt idx="24">
                  <c:v>-0.164203612479475</c:v>
                </c:pt>
                <c:pt idx="25">
                  <c:v>0</c:v>
                </c:pt>
                <c:pt idx="26">
                  <c:v>0.164203612479475</c:v>
                </c:pt>
                <c:pt idx="27">
                  <c:v>0.164203612479475</c:v>
                </c:pt>
                <c:pt idx="28">
                  <c:v>0.164203612479475</c:v>
                </c:pt>
                <c:pt idx="29">
                  <c:v>0.164203612479475</c:v>
                </c:pt>
                <c:pt idx="30">
                  <c:v>0.164203612479475</c:v>
                </c:pt>
                <c:pt idx="31">
                  <c:v>0.164203612479475</c:v>
                </c:pt>
                <c:pt idx="32">
                  <c:v>-0.164203612479475</c:v>
                </c:pt>
                <c:pt idx="33">
                  <c:v>0</c:v>
                </c:pt>
                <c:pt idx="34">
                  <c:v>0.164203612479475</c:v>
                </c:pt>
                <c:pt idx="35">
                  <c:v>0.164203612479475</c:v>
                </c:pt>
                <c:pt idx="36">
                  <c:v>0.164203612479475</c:v>
                </c:pt>
                <c:pt idx="37">
                  <c:v>0.164203612479475</c:v>
                </c:pt>
                <c:pt idx="38">
                  <c:v>0.164203612479475</c:v>
                </c:pt>
                <c:pt idx="39">
                  <c:v>0.164203612479475</c:v>
                </c:pt>
                <c:pt idx="40">
                  <c:v>-0.164203612479475</c:v>
                </c:pt>
                <c:pt idx="41">
                  <c:v>0</c:v>
                </c:pt>
                <c:pt idx="42">
                  <c:v>0.164203612479475</c:v>
                </c:pt>
                <c:pt idx="43">
                  <c:v>0.164203612479475</c:v>
                </c:pt>
                <c:pt idx="44">
                  <c:v>0.164203612479475</c:v>
                </c:pt>
                <c:pt idx="45">
                  <c:v>0.164203612479475</c:v>
                </c:pt>
                <c:pt idx="46">
                  <c:v>0.164203612479475</c:v>
                </c:pt>
                <c:pt idx="47">
                  <c:v>0.164203612479475</c:v>
                </c:pt>
              </c:numCache>
            </c:numRef>
          </c:yVal>
          <c:smooth val="0"/>
        </c:ser>
        <c:axId val="96034413"/>
        <c:axId val="50236143"/>
      </c:scatterChart>
      <c:valAx>
        <c:axId val="96034413"/>
        <c:scaling>
          <c:orientation val="minMax"/>
          <c:max val="1"/>
          <c:min val="-1"/>
        </c:scaling>
        <c:delete val="0"/>
        <c:axPos val="b"/>
        <c:numFmt formatCode=";;;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236143"/>
        <c:crosses val="autoZero"/>
        <c:crossBetween val="midCat"/>
      </c:valAx>
      <c:valAx>
        <c:axId val="50236143"/>
        <c:scaling>
          <c:orientation val="minMax"/>
          <c:max val="1"/>
          <c:min val="-1"/>
        </c:scaling>
        <c:delete val="0"/>
        <c:axPos val="l"/>
        <c:numFmt formatCode=";;;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03441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"Viga"</c:f>
              <c:strCache>
                <c:ptCount val="1"/>
                <c:pt idx="0">
                  <c:v>Viga</c:v>
                </c:pt>
              </c:strCache>
            </c:strRef>
          </c:tx>
          <c:spPr>
            <a:solidFill>
              <a:srgbClr val="1f2a44"/>
            </a:solidFill>
            <a:ln w="19080">
              <a:solidFill>
                <a:srgbClr val="1f2a4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DIBUJO!$AQ$4:$AQ$16</c:f>
              <c:numCache>
                <c:formatCode>General</c:formatCode>
                <c:ptCount val="13"/>
                <c:pt idx="0">
                  <c:v>-0.385934819897084</c:v>
                </c:pt>
                <c:pt idx="1">
                  <c:v>0.385934819897084</c:v>
                </c:pt>
                <c:pt idx="2">
                  <c:v>0.385934819897084</c:v>
                </c:pt>
                <c:pt idx="3">
                  <c:v>0.0128644939965695</c:v>
                </c:pt>
                <c:pt idx="4">
                  <c:v>0.0128644939965695</c:v>
                </c:pt>
                <c:pt idx="5">
                  <c:v>0.385934819897084</c:v>
                </c:pt>
                <c:pt idx="6">
                  <c:v>0.385934819897084</c:v>
                </c:pt>
                <c:pt idx="7">
                  <c:v>-0.385934819897084</c:v>
                </c:pt>
                <c:pt idx="8">
                  <c:v>-0.385934819897084</c:v>
                </c:pt>
                <c:pt idx="9">
                  <c:v>-0.0128644939965695</c:v>
                </c:pt>
                <c:pt idx="10">
                  <c:v>-0.0128644939965695</c:v>
                </c:pt>
                <c:pt idx="11">
                  <c:v>-0.385934819897084</c:v>
                </c:pt>
                <c:pt idx="12">
                  <c:v>-0.385934819897084</c:v>
                </c:pt>
              </c:numCache>
            </c:numRef>
          </c:xVal>
          <c:yVal>
            <c:numRef>
              <c:f>DIBUJO!$AR$4:$AR$16</c:f>
              <c:numCache>
                <c:formatCode>General</c:formatCode>
                <c:ptCount val="13"/>
                <c:pt idx="0">
                  <c:v>0.857632933104631</c:v>
                </c:pt>
                <c:pt idx="1">
                  <c:v>0.857632933104631</c:v>
                </c:pt>
                <c:pt idx="2">
                  <c:v>0.806174957118353</c:v>
                </c:pt>
                <c:pt idx="3">
                  <c:v>0.806174957118353</c:v>
                </c:pt>
                <c:pt idx="4">
                  <c:v>-0.806174957118353</c:v>
                </c:pt>
                <c:pt idx="5">
                  <c:v>-0.806174957118353</c:v>
                </c:pt>
                <c:pt idx="6">
                  <c:v>-0.857632933104631</c:v>
                </c:pt>
                <c:pt idx="7">
                  <c:v>-0.857632933104631</c:v>
                </c:pt>
                <c:pt idx="8">
                  <c:v>-0.806174957118353</c:v>
                </c:pt>
                <c:pt idx="9">
                  <c:v>-0.806174957118353</c:v>
                </c:pt>
                <c:pt idx="10">
                  <c:v>0.806174957118353</c:v>
                </c:pt>
                <c:pt idx="11">
                  <c:v>0.806174957118353</c:v>
                </c:pt>
                <c:pt idx="12">
                  <c:v>0.857632933104631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"Ext sup"</c:f>
              <c:strCache>
                <c:ptCount val="1"/>
                <c:pt idx="0">
                  <c:v>Ext sup</c:v>
                </c:pt>
              </c:strCache>
            </c:strRef>
          </c:tx>
          <c:spPr>
            <a:solidFill>
              <a:srgbClr val="2f5597"/>
            </a:solidFill>
            <a:ln w="2556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DIBUJO!$AT$4:$AT$8</c:f>
              <c:numCache>
                <c:formatCode>General</c:formatCode>
                <c:ptCount val="5"/>
                <c:pt idx="0">
                  <c:v>-0.385934819897084</c:v>
                </c:pt>
                <c:pt idx="1">
                  <c:v>-0.385934819897084</c:v>
                </c:pt>
                <c:pt idx="2">
                  <c:v>0.385934819897084</c:v>
                </c:pt>
                <c:pt idx="3">
                  <c:v>0.385934819897084</c:v>
                </c:pt>
                <c:pt idx="4">
                  <c:v>-0.385934819897084</c:v>
                </c:pt>
              </c:numCache>
            </c:numRef>
          </c:xVal>
          <c:yVal>
            <c:numRef>
              <c:f>DIBUJO!$AU$4:$AU$8</c:f>
              <c:numCache>
                <c:formatCode>General</c:formatCode>
                <c:ptCount val="5"/>
                <c:pt idx="0">
                  <c:v>0.857632933104631</c:v>
                </c:pt>
                <c:pt idx="1">
                  <c:v>0.909090909090909</c:v>
                </c:pt>
                <c:pt idx="2">
                  <c:v>0.909090909090909</c:v>
                </c:pt>
                <c:pt idx="3">
                  <c:v>0.857632933104631</c:v>
                </c:pt>
                <c:pt idx="4">
                  <c:v>0.857632933104631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"Ext inf"</c:f>
              <c:strCache>
                <c:ptCount val="1"/>
                <c:pt idx="0">
                  <c:v>Ext inf</c:v>
                </c:pt>
              </c:strCache>
            </c:strRef>
          </c:tx>
          <c:spPr>
            <a:solidFill>
              <a:srgbClr val="2f5597"/>
            </a:solidFill>
            <a:ln w="2556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DIBUJO!$AW$4:$AW$8</c:f>
              <c:numCache>
                <c:formatCode>General</c:formatCode>
                <c:ptCount val="5"/>
                <c:pt idx="0">
                  <c:v>-0.385934819897084</c:v>
                </c:pt>
                <c:pt idx="1">
                  <c:v>-0.385934819897084</c:v>
                </c:pt>
                <c:pt idx="2">
                  <c:v>0.385934819897084</c:v>
                </c:pt>
                <c:pt idx="3">
                  <c:v>0.385934819897084</c:v>
                </c:pt>
                <c:pt idx="4">
                  <c:v>-0.385934819897084</c:v>
                </c:pt>
              </c:numCache>
            </c:numRef>
          </c:xVal>
          <c:yVal>
            <c:numRef>
              <c:f>DIBUJO!$AX$4:$AX$8</c:f>
              <c:numCache>
                <c:formatCode>General</c:formatCode>
                <c:ptCount val="5"/>
                <c:pt idx="0">
                  <c:v>-0.909090909090909</c:v>
                </c:pt>
                <c:pt idx="1">
                  <c:v>-0.857632933104631</c:v>
                </c:pt>
                <c:pt idx="2">
                  <c:v>-0.857632933104631</c:v>
                </c:pt>
                <c:pt idx="3">
                  <c:v>-0.909090909090909</c:v>
                </c:pt>
                <c:pt idx="4">
                  <c:v>-0.909090909090909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"Int sup"</c:f>
              <c:strCache>
                <c:ptCount val="1"/>
                <c:pt idx="0">
                  <c:v>Int sup</c:v>
                </c:pt>
              </c:strCache>
            </c:strRef>
          </c:tx>
          <c:spPr>
            <a:solidFill>
              <a:srgbClr val="bf9000"/>
            </a:solidFill>
            <a:ln w="19080">
              <a:solidFill>
                <a:srgbClr val="bf9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DIBUJO!$AZ$4:$AZ$8</c:f>
              <c:numCache>
                <c:formatCode>General</c:formatCode>
                <c:ptCount val="5"/>
                <c:pt idx="0">
                  <c:v>0.0857632933104631</c:v>
                </c:pt>
                <c:pt idx="1">
                  <c:v>0.0857632933104631</c:v>
                </c:pt>
                <c:pt idx="2">
                  <c:v>0.385934819897084</c:v>
                </c:pt>
                <c:pt idx="3">
                  <c:v>0.385934819897084</c:v>
                </c:pt>
                <c:pt idx="4">
                  <c:v>0.0857632933104631</c:v>
                </c:pt>
              </c:numCache>
            </c:numRef>
          </c:xVal>
          <c:yVal>
            <c:numRef>
              <c:f>DIBUJO!$BA$4:$BA$8</c:f>
              <c:numCache>
                <c:formatCode>General</c:formatCode>
                <c:ptCount val="5"/>
                <c:pt idx="0">
                  <c:v>0.763293310463122</c:v>
                </c:pt>
                <c:pt idx="1">
                  <c:v>0.806174957118353</c:v>
                </c:pt>
                <c:pt idx="2">
                  <c:v>0.806174957118353</c:v>
                </c:pt>
                <c:pt idx="3">
                  <c:v>0.763293310463122</c:v>
                </c:pt>
                <c:pt idx="4">
                  <c:v>0.763293310463122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"Int inf"</c:f>
              <c:strCache>
                <c:ptCount val="1"/>
                <c:pt idx="0">
                  <c:v>Int inf</c:v>
                </c:pt>
              </c:strCache>
            </c:strRef>
          </c:tx>
          <c:spPr>
            <a:solidFill>
              <a:srgbClr val="bf9000"/>
            </a:solidFill>
            <a:ln w="19080">
              <a:solidFill>
                <a:srgbClr val="bf9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DIBUJO!$BC$4:$BC$8</c:f>
              <c:numCache>
                <c:formatCode>General</c:formatCode>
                <c:ptCount val="5"/>
                <c:pt idx="0">
                  <c:v>0.0857632933104631</c:v>
                </c:pt>
                <c:pt idx="1">
                  <c:v>0.0857632933104631</c:v>
                </c:pt>
                <c:pt idx="2">
                  <c:v>0.385934819897084</c:v>
                </c:pt>
                <c:pt idx="3">
                  <c:v>0.385934819897084</c:v>
                </c:pt>
                <c:pt idx="4">
                  <c:v>0.0857632933104631</c:v>
                </c:pt>
              </c:numCache>
            </c:numRef>
          </c:xVal>
          <c:yVal>
            <c:numRef>
              <c:f>DIBUJO!$BD$4:$BD$8</c:f>
              <c:numCache>
                <c:formatCode>General</c:formatCode>
                <c:ptCount val="5"/>
                <c:pt idx="0">
                  <c:v>-0.763293310463122</c:v>
                </c:pt>
                <c:pt idx="1">
                  <c:v>-0.806174957118353</c:v>
                </c:pt>
                <c:pt idx="2">
                  <c:v>-0.806174957118353</c:v>
                </c:pt>
                <c:pt idx="3">
                  <c:v>-0.763293310463122</c:v>
                </c:pt>
                <c:pt idx="4">
                  <c:v>-0.763293310463122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"Int sup-"</c:f>
              <c:strCache>
                <c:ptCount val="1"/>
                <c:pt idx="0">
                  <c:v>Int sup-</c:v>
                </c:pt>
              </c:strCache>
            </c:strRef>
          </c:tx>
          <c:spPr>
            <a:solidFill>
              <a:srgbClr val="bf9000"/>
            </a:solidFill>
            <a:ln w="19080">
              <a:solidFill>
                <a:srgbClr val="bf9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DIBUJO!$BF$4:$BF$8</c:f>
              <c:numCache>
                <c:formatCode>General</c:formatCode>
                <c:ptCount val="5"/>
                <c:pt idx="0">
                  <c:v>-0.0857632933104631</c:v>
                </c:pt>
                <c:pt idx="1">
                  <c:v>-0.0857632933104631</c:v>
                </c:pt>
                <c:pt idx="2">
                  <c:v>-0.385934819897084</c:v>
                </c:pt>
                <c:pt idx="3">
                  <c:v>-0.385934819897084</c:v>
                </c:pt>
                <c:pt idx="4">
                  <c:v>-0.0857632933104631</c:v>
                </c:pt>
              </c:numCache>
            </c:numRef>
          </c:xVal>
          <c:yVal>
            <c:numRef>
              <c:f>DIBUJO!$BG$4:$BG$8</c:f>
              <c:numCache>
                <c:formatCode>General</c:formatCode>
                <c:ptCount val="5"/>
                <c:pt idx="0">
                  <c:v>0.763293310463122</c:v>
                </c:pt>
                <c:pt idx="1">
                  <c:v>0.806174957118353</c:v>
                </c:pt>
                <c:pt idx="2">
                  <c:v>0.806174957118353</c:v>
                </c:pt>
                <c:pt idx="3">
                  <c:v>0.763293310463122</c:v>
                </c:pt>
                <c:pt idx="4">
                  <c:v>0.763293310463122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"Int inf-"</c:f>
              <c:strCache>
                <c:ptCount val="1"/>
                <c:pt idx="0">
                  <c:v>Int inf-</c:v>
                </c:pt>
              </c:strCache>
            </c:strRef>
          </c:tx>
          <c:spPr>
            <a:solidFill>
              <a:srgbClr val="bf9000"/>
            </a:solidFill>
            <a:ln w="19080">
              <a:solidFill>
                <a:srgbClr val="bf9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DIBUJO!$BI$4:$BI$8</c:f>
              <c:numCache>
                <c:formatCode>General</c:formatCode>
                <c:ptCount val="5"/>
                <c:pt idx="0">
                  <c:v>-0.0857632933104631</c:v>
                </c:pt>
                <c:pt idx="1">
                  <c:v>-0.0857632933104631</c:v>
                </c:pt>
                <c:pt idx="2">
                  <c:v>-0.385934819897084</c:v>
                </c:pt>
                <c:pt idx="3">
                  <c:v>-0.385934819897084</c:v>
                </c:pt>
                <c:pt idx="4">
                  <c:v>-0.0857632933104631</c:v>
                </c:pt>
              </c:numCache>
            </c:numRef>
          </c:xVal>
          <c:yVal>
            <c:numRef>
              <c:f>DIBUJO!$BJ$4:$BJ$8</c:f>
              <c:numCache>
                <c:formatCode>General</c:formatCode>
                <c:ptCount val="5"/>
                <c:pt idx="0">
                  <c:v>-0.763293310463122</c:v>
                </c:pt>
                <c:pt idx="1">
                  <c:v>-0.806174957118353</c:v>
                </c:pt>
                <c:pt idx="2">
                  <c:v>-0.806174957118353</c:v>
                </c:pt>
                <c:pt idx="3">
                  <c:v>-0.763293310463122</c:v>
                </c:pt>
                <c:pt idx="4">
                  <c:v>-0.763293310463122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"Alma der"</c:f>
              <c:strCache>
                <c:ptCount val="1"/>
                <c:pt idx="0">
                  <c:v>Alma der</c:v>
                </c:pt>
              </c:strCache>
            </c:strRef>
          </c:tx>
          <c:spPr>
            <a:solidFill>
              <a:srgbClr val="2f5597"/>
            </a:solidFill>
            <a:ln w="1908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DIBUJO!$BL$4:$BL$8</c:f>
              <c:numCache>
                <c:formatCode>General</c:formatCode>
                <c:ptCount val="5"/>
                <c:pt idx="0">
                  <c:v>0.0128644939965695</c:v>
                </c:pt>
                <c:pt idx="1">
                  <c:v>0.0128644939965695</c:v>
                </c:pt>
                <c:pt idx="2">
                  <c:v>0.0471698113207547</c:v>
                </c:pt>
                <c:pt idx="3">
                  <c:v>0.0471698113207547</c:v>
                </c:pt>
                <c:pt idx="4">
                  <c:v>0.0128644939965695</c:v>
                </c:pt>
              </c:numCache>
            </c:numRef>
          </c:xVal>
          <c:yVal>
            <c:numRef>
              <c:f>DIBUJO!$BM$4:$BM$8</c:f>
              <c:numCache>
                <c:formatCode>General</c:formatCode>
                <c:ptCount val="5"/>
                <c:pt idx="0">
                  <c:v>-0.600343053173242</c:v>
                </c:pt>
                <c:pt idx="1">
                  <c:v>0.600343053173242</c:v>
                </c:pt>
                <c:pt idx="2">
                  <c:v>0.600343053173242</c:v>
                </c:pt>
                <c:pt idx="3">
                  <c:v>-0.600343053173242</c:v>
                </c:pt>
                <c:pt idx="4">
                  <c:v>-0.600343053173242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"Alma izq"</c:f>
              <c:strCache>
                <c:ptCount val="1"/>
                <c:pt idx="0">
                  <c:v>Alma izq</c:v>
                </c:pt>
              </c:strCache>
            </c:strRef>
          </c:tx>
          <c:spPr>
            <a:solidFill>
              <a:srgbClr val="2f5597"/>
            </a:solidFill>
            <a:ln w="1908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DIBUJO!$BO$4:$BO$8</c:f>
              <c:numCache>
                <c:formatCode>General</c:formatCode>
                <c:ptCount val="5"/>
                <c:pt idx="0">
                  <c:v>-0.0471698113207547</c:v>
                </c:pt>
                <c:pt idx="1">
                  <c:v>-0.0471698113207547</c:v>
                </c:pt>
                <c:pt idx="2">
                  <c:v>-0.0128644939965695</c:v>
                </c:pt>
                <c:pt idx="3">
                  <c:v>-0.0128644939965695</c:v>
                </c:pt>
                <c:pt idx="4">
                  <c:v>-0.0471698113207547</c:v>
                </c:pt>
              </c:numCache>
            </c:numRef>
          </c:xVal>
          <c:yVal>
            <c:numRef>
              <c:f>DIBUJO!$BP$4:$BP$8</c:f>
              <c:numCache>
                <c:formatCode>General</c:formatCode>
                <c:ptCount val="5"/>
                <c:pt idx="0">
                  <c:v>-0.600343053173242</c:v>
                </c:pt>
                <c:pt idx="1">
                  <c:v>0.600343053173242</c:v>
                </c:pt>
                <c:pt idx="2">
                  <c:v>0.600343053173242</c:v>
                </c:pt>
                <c:pt idx="3">
                  <c:v>-0.600343053173242</c:v>
                </c:pt>
                <c:pt idx="4">
                  <c:v>-0.600343053173242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"Pernos ala"</c:f>
              <c:strCache>
                <c:ptCount val="1"/>
                <c:pt idx="0">
                  <c:v>Pernos ala</c:v>
                </c:pt>
              </c:strCache>
            </c:strRef>
          </c:tx>
          <c:spPr>
            <a:solidFill>
              <a:srgbClr val="404040"/>
            </a:solidFill>
            <a:ln w="28440">
              <a:noFill/>
            </a:ln>
          </c:spPr>
          <c:marker>
            <c:symbol val="dash"/>
            <c:size val="10"/>
            <c:spPr>
              <a:solidFill>
                <a:srgbClr val="40404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DIBUJO!$BR$4:$BR$7</c:f>
              <c:numCache>
                <c:formatCode>General</c:formatCode>
                <c:ptCount val="4"/>
                <c:pt idx="0">
                  <c:v>-0.235849056603774</c:v>
                </c:pt>
                <c:pt idx="1">
                  <c:v>0.235849056603774</c:v>
                </c:pt>
                <c:pt idx="2">
                  <c:v>-0.235849056603774</c:v>
                </c:pt>
                <c:pt idx="3">
                  <c:v>0.235849056603774</c:v>
                </c:pt>
              </c:numCache>
            </c:numRef>
          </c:xVal>
          <c:yVal>
            <c:numRef>
              <c:f>DIBUJO!$BS$4:$BS$7</c:f>
              <c:numCache>
                <c:formatCode>General</c:formatCode>
                <c:ptCount val="4"/>
                <c:pt idx="0">
                  <c:v>0.857632933104631</c:v>
                </c:pt>
                <c:pt idx="1">
                  <c:v>0.857632933104631</c:v>
                </c:pt>
                <c:pt idx="2">
                  <c:v>-0.857632933104631</c:v>
                </c:pt>
                <c:pt idx="3">
                  <c:v>-0.857632933104631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"Pernos alma"</c:f>
              <c:strCache>
                <c:ptCount val="1"/>
                <c:pt idx="0">
                  <c:v>Pernos alma</c:v>
                </c:pt>
              </c:strCache>
            </c:strRef>
          </c:tx>
          <c:spPr>
            <a:solidFill>
              <a:srgbClr val="404040"/>
            </a:solidFill>
            <a:ln w="28440">
              <a:noFill/>
            </a:ln>
          </c:spPr>
          <c:marker>
            <c:symbol val="diamond"/>
            <c:size val="5"/>
            <c:spPr>
              <a:solidFill>
                <a:srgbClr val="40404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DIBUJO!$BU$4:$BU$11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xVal>
          <c:yVal>
            <c:numRef>
              <c:f>DIBUJO!$BV$4:$BV$11</c:f>
              <c:numCache>
                <c:formatCode>General</c:formatCode>
                <c:ptCount val="8"/>
                <c:pt idx="0">
                  <c:v>-0.321612349914237</c:v>
                </c:pt>
                <c:pt idx="1">
                  <c:v>0</c:v>
                </c:pt>
                <c:pt idx="2">
                  <c:v>0.321612349914237</c:v>
                </c:pt>
                <c:pt idx="3">
                  <c:v>0.321612349914237</c:v>
                </c:pt>
                <c:pt idx="4">
                  <c:v>0.321612349914237</c:v>
                </c:pt>
                <c:pt idx="5">
                  <c:v>0.321612349914237</c:v>
                </c:pt>
                <c:pt idx="6">
                  <c:v>0.321612349914237</c:v>
                </c:pt>
                <c:pt idx="7">
                  <c:v>0.321612349914237</c:v>
                </c:pt>
              </c:numCache>
            </c:numRef>
          </c:yVal>
          <c:smooth val="0"/>
        </c:ser>
        <c:axId val="99431927"/>
        <c:axId val="64433826"/>
      </c:scatterChart>
      <c:valAx>
        <c:axId val="99431927"/>
        <c:scaling>
          <c:orientation val="minMax"/>
          <c:max val="1"/>
          <c:min val="-1"/>
        </c:scaling>
        <c:delete val="0"/>
        <c:axPos val="b"/>
        <c:numFmt formatCode=";;;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433826"/>
        <c:crosses val="autoZero"/>
        <c:crossBetween val="midCat"/>
      </c:valAx>
      <c:valAx>
        <c:axId val="64433826"/>
        <c:scaling>
          <c:orientation val="minMax"/>
          <c:max val="1"/>
          <c:min val="-1"/>
        </c:scaling>
        <c:delete val="0"/>
        <c:axPos val="l"/>
        <c:numFmt formatCode=";;;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43192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6</xdr:row>
      <xdr:rowOff>0</xdr:rowOff>
    </xdr:from>
    <xdr:to>
      <xdr:col>8</xdr:col>
      <xdr:colOff>472680</xdr:colOff>
      <xdr:row>18</xdr:row>
      <xdr:rowOff>89640</xdr:rowOff>
    </xdr:to>
    <xdr:graphicFrame>
      <xdr:nvGraphicFramePr>
        <xdr:cNvPr id="0" name="Chart 1"/>
        <xdr:cNvGraphicFramePr/>
      </xdr:nvGraphicFramePr>
      <xdr:xfrm>
        <a:off x="5040720" y="1276200"/>
        <a:ext cx="2375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49680</xdr:colOff>
      <xdr:row>18</xdr:row>
      <xdr:rowOff>89640</xdr:rowOff>
    </xdr:to>
    <xdr:graphicFrame>
      <xdr:nvGraphicFramePr>
        <xdr:cNvPr id="1" name="Chart 2"/>
        <xdr:cNvGraphicFramePr/>
      </xdr:nvGraphicFramePr>
      <xdr:xfrm>
        <a:off x="7648560" y="1276200"/>
        <a:ext cx="2375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U52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36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0.51"/>
    <col collapsed="false" customWidth="true" hidden="false" outlineLevel="0" max="6" min="6" style="0" width="1.51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3" min="13" style="0" width="1.51"/>
    <col collapsed="false" customWidth="true" hidden="false" outlineLevel="0" max="14" min="14" style="0" width="40"/>
    <col collapsed="false" customWidth="true" hidden="false" outlineLevel="0" max="15" min="15" style="0" width="18"/>
    <col collapsed="false" customWidth="true" hidden="false" outlineLevel="0" max="18" min="16" style="0" width="10"/>
    <col collapsed="false" customWidth="true" hidden="false" outlineLevel="0" max="19" min="19" style="0" width="8"/>
    <col collapsed="false" customWidth="true" hidden="false" outlineLevel="0" max="21" min="20" style="0" width="12"/>
  </cols>
  <sheetData>
    <row r="2" customFormat="false" ht="25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5" hidden="false" customHeight="false" outlineLevel="0" collapsed="false">
      <c r="B4" s="3" t="s">
        <v>2</v>
      </c>
      <c r="C4" s="4" t="s">
        <v>3</v>
      </c>
      <c r="D4" s="3" t="s">
        <v>4</v>
      </c>
      <c r="E4" s="5" t="s">
        <v>3</v>
      </c>
      <c r="G4" s="3" t="s">
        <v>5</v>
      </c>
    </row>
    <row r="6" customFormat="false" ht="15" hidden="false" customHeight="false" outlineLevel="0" collapsed="false">
      <c r="B6" s="2" t="s">
        <v>6</v>
      </c>
      <c r="C6" s="2"/>
      <c r="D6" s="2"/>
      <c r="E6" s="2"/>
      <c r="G6" s="6" t="s">
        <v>7</v>
      </c>
      <c r="H6" s="6"/>
      <c r="I6" s="6"/>
      <c r="J6" s="6" t="s">
        <v>8</v>
      </c>
      <c r="K6" s="6"/>
      <c r="L6" s="6"/>
      <c r="N6" s="2" t="s">
        <v>9</v>
      </c>
      <c r="O6" s="2"/>
      <c r="P6" s="2"/>
      <c r="Q6" s="2"/>
      <c r="R6" s="2"/>
      <c r="S6" s="2"/>
      <c r="T6" s="2"/>
      <c r="U6" s="2"/>
    </row>
    <row r="7" customFormat="false" ht="15" hidden="false" customHeight="false" outlineLevel="0" collapsed="false">
      <c r="B7" s="7" t="s">
        <v>10</v>
      </c>
      <c r="C7" s="8" t="s">
        <v>11</v>
      </c>
      <c r="D7" s="8"/>
      <c r="E7" s="8"/>
      <c r="N7" s="9" t="str">
        <f aca="false">IF(COUNT(S12:S39)=0,"SIN CARGAS",IF(MAX(S12:S39)&gt;1,"✖  NO CUMPLE — ratio máx. "&amp;TEXT(MAX(S12:S39),"0.00"),IF(MAX(S12:S39)&gt;lim_verde,"▲  CUMPLE AL LÍMITE — ratio máx. "&amp;TEXT(MAX(S12:S39),"0.00"),"✔  CUMPLE — ratio máx. "&amp;TEXT(MAX(S12:S39),"0.00"))))</f>
        <v>✔  CUMPLE — ratio máx. 0.86</v>
      </c>
      <c r="O7" s="9"/>
      <c r="P7" s="9"/>
      <c r="Q7" s="9"/>
      <c r="R7" s="9"/>
      <c r="S7" s="9"/>
      <c r="T7" s="9"/>
      <c r="U7" s="9"/>
    </row>
    <row r="8" customFormat="false" ht="15" hidden="false" customHeight="false" outlineLevel="0" collapsed="false">
      <c r="B8" s="7" t="s">
        <v>12</v>
      </c>
      <c r="C8" s="8" t="s">
        <v>13</v>
      </c>
      <c r="D8" s="8"/>
      <c r="E8" s="8"/>
      <c r="N8" s="9"/>
      <c r="O8" s="9"/>
      <c r="P8" s="9"/>
      <c r="Q8" s="9"/>
      <c r="R8" s="9"/>
      <c r="S8" s="9"/>
      <c r="T8" s="9"/>
      <c r="U8" s="9"/>
    </row>
    <row r="9" customFormat="false" ht="15" hidden="false" customHeight="false" outlineLevel="0" collapsed="false">
      <c r="B9" s="7" t="s">
        <v>14</v>
      </c>
      <c r="C9" s="10" t="n">
        <v>0.9</v>
      </c>
      <c r="D9" s="11"/>
    </row>
    <row r="10" customFormat="false" ht="15" hidden="false" customHeight="false" outlineLevel="0" collapsed="false">
      <c r="B10" s="2" t="s">
        <v>15</v>
      </c>
      <c r="C10" s="2"/>
      <c r="D10" s="2"/>
      <c r="E10" s="2"/>
      <c r="N10" s="12" t="s">
        <v>16</v>
      </c>
      <c r="O10" s="12" t="s">
        <v>17</v>
      </c>
      <c r="P10" s="12" t="s">
        <v>18</v>
      </c>
      <c r="Q10" s="12" t="s">
        <v>19</v>
      </c>
      <c r="R10" s="12" t="s">
        <v>20</v>
      </c>
      <c r="S10" s="12" t="s">
        <v>21</v>
      </c>
      <c r="T10" s="12" t="s">
        <v>22</v>
      </c>
      <c r="U10" s="12" t="s">
        <v>23</v>
      </c>
    </row>
    <row r="11" customFormat="false" ht="15" hidden="false" customHeight="false" outlineLevel="0" collapsed="false">
      <c r="B11" s="7" t="s">
        <v>24</v>
      </c>
      <c r="C11" s="8" t="s">
        <v>25</v>
      </c>
      <c r="D11" s="8"/>
      <c r="E11" s="3" t="s">
        <v>26</v>
      </c>
      <c r="N11" s="13" t="s">
        <v>27</v>
      </c>
      <c r="O11" s="13"/>
      <c r="P11" s="13"/>
      <c r="Q11" s="13"/>
      <c r="R11" s="13"/>
      <c r="S11" s="13"/>
      <c r="T11" s="13"/>
      <c r="U11" s="13"/>
    </row>
    <row r="12" customFormat="false" ht="15" hidden="false" customHeight="false" outlineLevel="0" collapsed="false">
      <c r="B12" s="7" t="s">
        <v>28</v>
      </c>
      <c r="C12" s="14" t="n">
        <f aca="false">IF(vg_perfil="ARMADO (flejes soldados)",E12,INDEX(CATALOGOS!$B$5:$B$40,MATCH(vg_perfil,CATALOGOS!$A$5:$A$40,0)))</f>
        <v>400</v>
      </c>
      <c r="D12" s="11" t="s">
        <v>29</v>
      </c>
      <c r="E12" s="8" t="n">
        <v>400</v>
      </c>
      <c r="N12" s="15" t="s">
        <v>30</v>
      </c>
      <c r="O12" s="16" t="s">
        <v>31</v>
      </c>
      <c r="P12" s="17" t="n">
        <f aca="false">INDEX(CALCULO!$D$81:$M$81,MATCH(MAX(CALCULO!$D$82:$M$82),CALCULO!$D$82:$M$82,0))/1000</f>
        <v>28.3505154639175</v>
      </c>
      <c r="Q12" s="17" t="n">
        <f aca="false">f_nb*MIN(f_rv,f_rvs)/1000</f>
        <v>97.4008950929932</v>
      </c>
      <c r="R12" s="18" t="s">
        <v>32</v>
      </c>
      <c r="S12" s="19" t="n">
        <f aca="false">MAX(CALCULO!$D$82:$M$82)</f>
        <v>0.291070379146413</v>
      </c>
      <c r="T12" s="20" t="str">
        <f aca="false">IF(ISNUMBER(S12),IF(S12&gt;1,"NO CUMPLE",IF(S12&gt;lim_verde,"AL LÍMITE","CUMPLE")),"N/A")</f>
        <v>CUMPLE</v>
      </c>
      <c r="U12" s="18" t="str">
        <f aca="false">IF(ISNUMBER(S12),INDEX(CALCULO!$D$76:$M$76,MATCH(MAX(CALCULO!$D$82:$M$82),CALCULO!$D$82:$M$82,0)),"—")</f>
        <v>1.2D+1.0E+L</v>
      </c>
    </row>
    <row r="13" customFormat="false" ht="15" hidden="false" customHeight="false" outlineLevel="0" collapsed="false">
      <c r="B13" s="7" t="s">
        <v>33</v>
      </c>
      <c r="C13" s="14" t="n">
        <f aca="false">IF(vg_perfil="ARMADO (flejes soldados)",E13,INDEX(CATALOGOS!$C$5:$C$40,MATCH(vg_perfil,CATALOGOS!$A$5:$A$40,0)))</f>
        <v>180</v>
      </c>
      <c r="D13" s="11" t="s">
        <v>29</v>
      </c>
      <c r="E13" s="8" t="n">
        <v>180</v>
      </c>
      <c r="N13" s="15" t="s">
        <v>34</v>
      </c>
      <c r="O13" s="16" t="s">
        <v>35</v>
      </c>
      <c r="P13" s="17" t="n">
        <f aca="false">INDEX(CALCULO!$D$81:$M$81,MATCH(MAX(CALCULO!$D$83:$M$83),CALCULO!$D$83:$M$83,0))/1000</f>
        <v>28.3505154639175</v>
      </c>
      <c r="Q13" s="17" t="n">
        <f aca="false">f_nb*MIN(f_rbb,f_rbp)/1000</f>
        <v>87.8968665</v>
      </c>
      <c r="R13" s="18" t="s">
        <v>32</v>
      </c>
      <c r="S13" s="19" t="n">
        <f aca="false">MAX(CALCULO!$D$83:$M$83)</f>
        <v>0.322542959639153</v>
      </c>
      <c r="T13" s="20" t="str">
        <f aca="false">IF(ISNUMBER(S13),IF(S13&gt;1,"NO CUMPLE",IF(S13&gt;lim_verde,"AL LÍMITE","CUMPLE")),"N/A")</f>
        <v>CUMPLE</v>
      </c>
      <c r="U13" s="18" t="str">
        <f aca="false">IF(ISNUMBER(S13),INDEX(CALCULO!$D$76:$M$76,MATCH(MAX(CALCULO!$D$83:$M$83),CALCULO!$D$83:$M$83,0)),"—")</f>
        <v>1.2D+1.0E+L</v>
      </c>
    </row>
    <row r="14" customFormat="false" ht="15" hidden="false" customHeight="false" outlineLevel="0" collapsed="false">
      <c r="B14" s="7" t="s">
        <v>36</v>
      </c>
      <c r="C14" s="14" t="n">
        <f aca="false">IF(vg_perfil="ARMADO (flejes soldados)",E14,INDEX(CATALOGOS!$D$5:$D$40,MATCH(vg_perfil,CATALOGOS!$A$5:$A$40,0)))</f>
        <v>6</v>
      </c>
      <c r="D14" s="11" t="s">
        <v>29</v>
      </c>
      <c r="E14" s="8" t="n">
        <v>6</v>
      </c>
      <c r="N14" s="15" t="s">
        <v>37</v>
      </c>
      <c r="O14" s="16" t="s">
        <v>38</v>
      </c>
      <c r="P14" s="17" t="n">
        <f aca="false">INDEX(CALCULO!$D$81:$M$81,MATCH(MAX(CALCULO!$D$84:$M$84),CALCULO!$D$84:$M$84,0))/1000</f>
        <v>28.3505154639175</v>
      </c>
      <c r="Q14" s="17" t="n">
        <f aca="false">p_ty/1000</f>
        <v>112.6206</v>
      </c>
      <c r="R14" s="18" t="s">
        <v>32</v>
      </c>
      <c r="S14" s="19" t="n">
        <f aca="false">MAX(CALCULO!$D$84:$M$84)</f>
        <v>0.251734722279206</v>
      </c>
      <c r="T14" s="20" t="str">
        <f aca="false">IF(ISNUMBER(S14),IF(S14&gt;1,"NO CUMPLE",IF(S14&gt;lim_verde,"AL LÍMITE","CUMPLE")),"N/A")</f>
        <v>CUMPLE</v>
      </c>
      <c r="U14" s="18" t="str">
        <f aca="false">IF(ISNUMBER(S14),INDEX(CALCULO!$D$76:$M$76,MATCH(MAX(CALCULO!$D$84:$M$84),CALCULO!$D$84:$M$84,0)),"—")</f>
        <v>1.2D+1.0E+L</v>
      </c>
    </row>
    <row r="15" customFormat="false" ht="15" hidden="false" customHeight="false" outlineLevel="0" collapsed="false">
      <c r="B15" s="7" t="s">
        <v>39</v>
      </c>
      <c r="C15" s="14" t="n">
        <f aca="false">IF(vg_perfil="ARMADO (flejes soldados)",E15,INDEX(CATALOGOS!$E$5:$E$40,MATCH(vg_perfil,CATALOGOS!$A$5:$A$40,0)))</f>
        <v>12</v>
      </c>
      <c r="D15" s="11" t="s">
        <v>29</v>
      </c>
      <c r="E15" s="8" t="n">
        <v>12</v>
      </c>
      <c r="N15" s="15" t="s">
        <v>40</v>
      </c>
      <c r="O15" s="16" t="s">
        <v>41</v>
      </c>
      <c r="P15" s="17" t="n">
        <f aca="false">INDEX(CALCULO!$D$81:$M$81,MATCH(MAX(CALCULO!$D$85:$M$85),CALCULO!$D$85:$M$85,0))/1000</f>
        <v>28.3505154639175</v>
      </c>
      <c r="Q15" s="17" t="n">
        <f aca="false">p_tr/1000</f>
        <v>88.5014775</v>
      </c>
      <c r="R15" s="18" t="s">
        <v>32</v>
      </c>
      <c r="S15" s="19" t="n">
        <f aca="false">MAX(CALCULO!$D$85:$M$85)</f>
        <v>0.320339459461765</v>
      </c>
      <c r="T15" s="20" t="str">
        <f aca="false">IF(ISNUMBER(S15),IF(S15&gt;1,"NO CUMPLE",IF(S15&gt;lim_verde,"AL LÍMITE","CUMPLE")),"N/A")</f>
        <v>CUMPLE</v>
      </c>
      <c r="U15" s="18" t="str">
        <f aca="false">IF(ISNUMBER(S15),INDEX(CALCULO!$D$76:$M$76,MATCH(MAX(CALCULO!$D$85:$M$85),CALCULO!$D$85:$M$85,0)),"—")</f>
        <v>1.2D+1.0E+L</v>
      </c>
    </row>
    <row r="16" customFormat="false" ht="15" hidden="false" customHeight="false" outlineLevel="0" collapsed="false">
      <c r="B16" s="7" t="s">
        <v>42</v>
      </c>
      <c r="C16" s="8" t="s">
        <v>43</v>
      </c>
      <c r="D16" s="8"/>
      <c r="N16" s="15" t="s">
        <v>44</v>
      </c>
      <c r="O16" s="16" t="s">
        <v>45</v>
      </c>
      <c r="P16" s="17" t="n">
        <f aca="false">INDEX(CALCULO!$D$81:$M$81,MATCH(MAX(CALCULO!$D$86:$M$86),CALCULO!$D$86:$M$86,0))/1000</f>
        <v>28.3505154639175</v>
      </c>
      <c r="Q16" s="17" t="n">
        <f aca="false">p_bs/1000</f>
        <v>157.671855</v>
      </c>
      <c r="R16" s="18" t="s">
        <v>32</v>
      </c>
      <c r="S16" s="19" t="n">
        <f aca="false">MAX(CALCULO!$D$86:$M$86)</f>
        <v>0.179807077578415</v>
      </c>
      <c r="T16" s="20" t="str">
        <f aca="false">IF(ISNUMBER(S16),IF(S16&gt;1,"NO CUMPLE",IF(S16&gt;lim_verde,"AL LÍMITE","CUMPLE")),"N/A")</f>
        <v>CUMPLE</v>
      </c>
      <c r="U16" s="18" t="str">
        <f aca="false">IF(ISNUMBER(S16),INDEX(CALCULO!$D$76:$M$76,MATCH(MAX(CALCULO!$D$86:$M$86),CALCULO!$D$86:$M$86,0)),"—")</f>
        <v>1.2D+1.0E+L</v>
      </c>
    </row>
    <row r="17" customFormat="false" ht="15" hidden="false" customHeight="false" outlineLevel="0" collapsed="false">
      <c r="B17" s="7" t="s">
        <v>46</v>
      </c>
      <c r="C17" s="21" t="n">
        <f aca="false">INDEX(CATALOGOS!$H$5:$H$10,MATCH(vg_acero,CATALOGOS!$G$5:$G$10,0))</f>
        <v>3515</v>
      </c>
      <c r="D17" s="11" t="s">
        <v>47</v>
      </c>
      <c r="E17" s="21" t="n">
        <f aca="false">INDEX(CATALOGOS!$I$5:$I$10,MATCH(vg_acero,CATALOGOS!$G$5:$G$10,0))</f>
        <v>4570</v>
      </c>
      <c r="N17" s="15" t="s">
        <v>48</v>
      </c>
      <c r="O17" s="16" t="s">
        <v>49</v>
      </c>
      <c r="P17" s="17" t="n">
        <f aca="false">INDEX(CALCULO!$D$81:$M$81,MATCH(MAX(CALCULO!$D$87:$M$87),CALCULO!$D$87:$M$87,0))/1000</f>
        <v>28.3505154639175</v>
      </c>
      <c r="Q17" s="17" t="n">
        <f aca="false">p_cb/1000</f>
        <v>112.6206</v>
      </c>
      <c r="R17" s="18" t="s">
        <v>32</v>
      </c>
      <c r="S17" s="19" t="n">
        <f aca="false">MAX(CALCULO!$D$87:$M$87)</f>
        <v>0.251734722279206</v>
      </c>
      <c r="T17" s="20" t="str">
        <f aca="false">IF(ISNUMBER(S17),IF(S17&gt;1,"NO CUMPLE",IF(S17&gt;lim_verde,"AL LÍMITE","CUMPLE")),"N/A")</f>
        <v>CUMPLE</v>
      </c>
      <c r="U17" s="18" t="str">
        <f aca="false">IF(ISNUMBER(S17),INDEX(CALCULO!$D$76:$M$76,MATCH(MAX(CALCULO!$D$87:$M$87),CALCULO!$D$87:$M$87,0)),"—")</f>
        <v>1.2D+1.0E+L</v>
      </c>
    </row>
    <row r="18" customFormat="false" ht="15" hidden="false" customHeight="false" outlineLevel="0" collapsed="false">
      <c r="B18" s="7" t="s">
        <v>50</v>
      </c>
      <c r="C18" s="8" t="n">
        <v>6</v>
      </c>
      <c r="D18" s="11" t="s">
        <v>29</v>
      </c>
      <c r="N18" s="15" t="s">
        <v>51</v>
      </c>
      <c r="O18" s="16" t="s">
        <v>45</v>
      </c>
      <c r="P18" s="17" t="n">
        <f aca="false">INDEX(CALCULO!$D$81:$M$81,MATCH(MAX(CALCULO!$D$88:$M$88),CALCULO!$D$88:$M$88,0))/1000</f>
        <v>28.3505154639175</v>
      </c>
      <c r="Q18" s="17" t="n">
        <f aca="false">b_bs/1000</f>
        <v>86.00283</v>
      </c>
      <c r="R18" s="18" t="s">
        <v>32</v>
      </c>
      <c r="S18" s="19" t="n">
        <f aca="false">MAX(CALCULO!$D$88:$M$88)</f>
        <v>0.32964630889376</v>
      </c>
      <c r="T18" s="20" t="str">
        <f aca="false">IF(ISNUMBER(S18),IF(S18&gt;1,"NO CUMPLE",IF(S18&gt;lim_verde,"AL LÍMITE","CUMPLE")),"N/A")</f>
        <v>CUMPLE</v>
      </c>
      <c r="U18" s="18" t="str">
        <f aca="false">IF(ISNUMBER(S18),INDEX(CALCULO!$D$76:$M$76,MATCH(MAX(CALCULO!$D$88:$M$88),CALCULO!$D$88:$M$88,0)),"—")</f>
        <v>1.2D+1.0E+L</v>
      </c>
    </row>
    <row r="19" customFormat="false" ht="15" hidden="false" customHeight="false" outlineLevel="0" collapsed="false">
      <c r="B19" s="2" t="s">
        <v>52</v>
      </c>
      <c r="C19" s="2"/>
      <c r="D19" s="2"/>
      <c r="E19" s="2"/>
      <c r="N19" s="15" t="s">
        <v>53</v>
      </c>
      <c r="O19" s="16" t="s">
        <v>54</v>
      </c>
      <c r="P19" s="17" t="n">
        <f aca="false">IF(b_F13=0,"—",INDEX(CALCULO!$D$77:$M$77,MATCH(MAX(CALCULO!$D$89:$M$89),CALCULO!$D$89:$M$89,0))/100000)</f>
        <v>11</v>
      </c>
      <c r="Q19" s="17" t="n">
        <f aca="false">IF(b_F13=0,"—",b_MnF/100000)</f>
        <v>29.303418569312</v>
      </c>
      <c r="R19" s="18" t="s">
        <v>55</v>
      </c>
      <c r="S19" s="19" t="n">
        <f aca="false">IF(b_F13=0,"N/A",MAX(CALCULO!$D$89:$M$89))</f>
        <v>0.375382823474383</v>
      </c>
      <c r="T19" s="20" t="str">
        <f aca="false">IF(ISNUMBER(S19),IF(S19&gt;1,"NO CUMPLE",IF(S19&gt;lim_verde,"AL LÍMITE","CUMPLE")),"N/A")</f>
        <v>CUMPLE</v>
      </c>
      <c r="U19" s="18" t="str">
        <f aca="false">IF(ISNUMBER(S19),INDEX(CALCULO!$D$76:$M$76,MATCH(MAX(CALCULO!$D$89:$M$89),CALCULO!$D$89:$M$89,0)),"—")</f>
        <v>1.2D+1.0E+L</v>
      </c>
    </row>
    <row r="20" customFormat="false" ht="15" hidden="false" customHeight="false" outlineLevel="0" collapsed="false">
      <c r="B20" s="7" t="s">
        <v>56</v>
      </c>
      <c r="C20" s="8" t="n">
        <v>10</v>
      </c>
      <c r="D20" s="11" t="s">
        <v>29</v>
      </c>
      <c r="N20" s="13" t="s">
        <v>57</v>
      </c>
      <c r="O20" s="13"/>
      <c r="P20" s="13"/>
      <c r="Q20" s="13"/>
      <c r="R20" s="13"/>
      <c r="S20" s="13"/>
      <c r="T20" s="13"/>
      <c r="U20" s="13"/>
    </row>
    <row r="21" customFormat="false" ht="15" hidden="false" customHeight="false" outlineLevel="0" collapsed="false">
      <c r="B21" s="7" t="s">
        <v>58</v>
      </c>
      <c r="C21" s="8" t="s">
        <v>59</v>
      </c>
      <c r="D21" s="8"/>
      <c r="E21" s="8"/>
      <c r="G21" s="2" t="s">
        <v>60</v>
      </c>
      <c r="H21" s="2"/>
      <c r="I21" s="2"/>
      <c r="J21" s="2"/>
      <c r="K21" s="2"/>
      <c r="L21" s="2"/>
      <c r="N21" s="15" t="s">
        <v>61</v>
      </c>
      <c r="O21" s="16" t="s">
        <v>31</v>
      </c>
      <c r="P21" s="17" t="n">
        <f aca="false">INDEX(CALCULO!$D$91:$M$91,MATCH(MAX(CALCULO!$D$92:$M$92),CALCULO!$D$92:$M$92,0))/1000</f>
        <v>2.46649774196351</v>
      </c>
      <c r="Q21" s="17" t="n">
        <f aca="false">MIN(w_rv,w_rvs)/1000</f>
        <v>16.2334825154989</v>
      </c>
      <c r="R21" s="18" t="s">
        <v>32</v>
      </c>
      <c r="S21" s="19" t="n">
        <f aca="false">MAX(CALCULO!$D$92:$M$92)</f>
        <v>0.151938916348272</v>
      </c>
      <c r="T21" s="20" t="str">
        <f aca="false">IF(ISNUMBER(S21),IF(S21&gt;1,"NO CUMPLE",IF(S21&gt;lim_verde,"AL LÍMITE","CUMPLE")),"N/A")</f>
        <v>CUMPLE</v>
      </c>
      <c r="U21" s="18" t="str">
        <f aca="false">IF(ISNUMBER(S21),INDEX(CALCULO!$D$76:$M$76,MATCH(MAX(CALCULO!$D$92:$M$92),CALCULO!$D$92:$M$92,0)),"—")</f>
        <v>1.2D+1.6L</v>
      </c>
    </row>
    <row r="22" customFormat="false" ht="24" hidden="false" customHeight="true" outlineLevel="0" collapsed="false">
      <c r="B22" s="7" t="s">
        <v>62</v>
      </c>
      <c r="C22" s="8" t="s">
        <v>63</v>
      </c>
      <c r="D22" s="8"/>
      <c r="E22" s="8"/>
      <c r="G22" s="22" t="s">
        <v>64</v>
      </c>
      <c r="H22" s="22" t="s">
        <v>65</v>
      </c>
      <c r="I22" s="22" t="s">
        <v>66</v>
      </c>
      <c r="J22" s="22" t="s">
        <v>67</v>
      </c>
      <c r="N22" s="15" t="s">
        <v>68</v>
      </c>
      <c r="O22" s="16" t="s">
        <v>35</v>
      </c>
      <c r="P22" s="17" t="n">
        <f aca="false">INDEX(CALCULO!$D$91:$M$91,MATCH(MAX(CALCULO!$D$93:$M$93),CALCULO!$D$93:$M$93,0))/1000</f>
        <v>2.46649774196351</v>
      </c>
      <c r="Q22" s="17" t="n">
        <f aca="false">MIN(w_rbw,w_rbp)/1000</f>
        <v>7.324738875</v>
      </c>
      <c r="R22" s="18" t="s">
        <v>32</v>
      </c>
      <c r="S22" s="19" t="n">
        <f aca="false">MAX(CALCULO!$D$93:$M$93)</f>
        <v>0.336735245318013</v>
      </c>
      <c r="T22" s="20" t="str">
        <f aca="false">IF(ISNUMBER(S22),IF(S22&gt;1,"NO CUMPLE",IF(S22&gt;lim_verde,"AL LÍMITE","CUMPLE")),"N/A")</f>
        <v>CUMPLE</v>
      </c>
      <c r="U22" s="18" t="str">
        <f aca="false">IF(ISNUMBER(S22),INDEX(CALCULO!$D$76:$M$76,MATCH(MAX(CALCULO!$D$93:$M$93),CALCULO!$D$93:$M$93,0)),"—")</f>
        <v>1.2D+1.6L</v>
      </c>
    </row>
    <row r="23" customFormat="false" ht="15" hidden="false" customHeight="false" outlineLevel="0" collapsed="false">
      <c r="B23" s="2" t="s">
        <v>69</v>
      </c>
      <c r="C23" s="2"/>
      <c r="D23" s="2"/>
      <c r="E23" s="2"/>
      <c r="G23" s="8" t="s">
        <v>70</v>
      </c>
      <c r="H23" s="23" t="n">
        <v>9</v>
      </c>
      <c r="I23" s="23" t="n">
        <v>5.5</v>
      </c>
      <c r="J23" s="24" t="n">
        <f aca="false">IF(INDEX(CALCULO!$D$79:$M$79,1)=1,INDEX(CALCULO!$D$98:$M$98,1),"—")</f>
        <v>0.336735245318013</v>
      </c>
      <c r="N23" s="15" t="s">
        <v>71</v>
      </c>
      <c r="O23" s="16" t="s">
        <v>72</v>
      </c>
      <c r="P23" s="17" t="n">
        <f aca="false">INDEX(CALCULO!$D$78:$M$78,MATCH(MAX(CALCULO!$D$94:$M$94),CALCULO!$D$94:$M$94,0))/1000</f>
        <v>5.5</v>
      </c>
      <c r="Q23" s="17" t="n">
        <f aca="false">MIN(w_vy,w_vr)/1000</f>
        <v>62.666352</v>
      </c>
      <c r="R23" s="18" t="s">
        <v>32</v>
      </c>
      <c r="S23" s="19" t="n">
        <f aca="false">MAX(CALCULO!$D$94:$M$94)</f>
        <v>0.0877663981461694</v>
      </c>
      <c r="T23" s="20" t="str">
        <f aca="false">IF(ISNUMBER(S23),IF(S23&gt;1,"NO CUMPLE",IF(S23&gt;lim_verde,"AL LÍMITE","CUMPLE")),"N/A")</f>
        <v>CUMPLE</v>
      </c>
      <c r="U23" s="18" t="str">
        <f aca="false">IF(ISNUMBER(S23),INDEX(CALCULO!$D$76:$M$76,MATCH(MAX(CALCULO!$D$94:$M$94),CALCULO!$D$94:$M$94,0)),"—")</f>
        <v>1.2D+1.6L</v>
      </c>
    </row>
    <row r="24" customFormat="false" ht="15" hidden="false" customHeight="false" outlineLevel="0" collapsed="false">
      <c r="B24" s="7" t="s">
        <v>42</v>
      </c>
      <c r="C24" s="8" t="s">
        <v>43</v>
      </c>
      <c r="D24" s="8"/>
      <c r="G24" s="8" t="s">
        <v>73</v>
      </c>
      <c r="H24" s="23" t="n">
        <v>11</v>
      </c>
      <c r="I24" s="23" t="n">
        <v>4.5</v>
      </c>
      <c r="J24" s="24" t="n">
        <f aca="false">IF(INDEX(CALCULO!$D$79:$M$79,2)=1,INDEX(CALCULO!$D$98:$M$98,2),"—")</f>
        <v>0.375382823474383</v>
      </c>
      <c r="N24" s="15" t="s">
        <v>74</v>
      </c>
      <c r="O24" s="16" t="s">
        <v>75</v>
      </c>
      <c r="P24" s="17" t="n">
        <f aca="false">INDEX(CALCULO!$D$95:$M$95,MATCH(MAX(CALCULO!$D$95:$M$95),CALCULO!$D$95:$M$95,0))/1</f>
        <v>0.00774208119039702</v>
      </c>
      <c r="Q24" s="17" t="n">
        <f aca="false">1</f>
        <v>1</v>
      </c>
      <c r="R24" s="18" t="s">
        <v>76</v>
      </c>
      <c r="S24" s="19" t="n">
        <f aca="false">MAX(CALCULO!$D$95:$M$95)</f>
        <v>0.00774208119039702</v>
      </c>
      <c r="T24" s="20" t="str">
        <f aca="false">IF(ISNUMBER(S24),IF(S24&gt;1,"NO CUMPLE",IF(S24&gt;lim_verde,"AL LÍMITE","CUMPLE")),"N/A")</f>
        <v>CUMPLE</v>
      </c>
      <c r="U24" s="18" t="str">
        <f aca="false">IF(ISNUMBER(S24),INDEX(CALCULO!$D$76:$M$76,MATCH(MAX(CALCULO!$D$95:$M$95),CALCULO!$D$95:$M$95,0)),"—")</f>
        <v>1.2D+1.6L</v>
      </c>
    </row>
    <row r="25" customFormat="false" ht="15" hidden="false" customHeight="false" outlineLevel="0" collapsed="false">
      <c r="B25" s="7" t="s">
        <v>46</v>
      </c>
      <c r="C25" s="21" t="n">
        <f aca="false">INDEX(CATALOGOS!$H$5:$H$10,MATCH(pf_acero,CATALOGOS!$G$5:$G$10,0))</f>
        <v>3515</v>
      </c>
      <c r="D25" s="11" t="s">
        <v>47</v>
      </c>
      <c r="E25" s="21" t="n">
        <f aca="false">INDEX(CATALOGOS!$I$5:$I$10,MATCH(pf_acero,CATALOGOS!$G$5:$G$10,0))</f>
        <v>4570</v>
      </c>
      <c r="G25" s="8" t="s">
        <v>77</v>
      </c>
      <c r="H25" s="23" t="n">
        <v>7.5</v>
      </c>
      <c r="I25" s="23" t="n">
        <v>3</v>
      </c>
      <c r="J25" s="24" t="n">
        <f aca="false">IF(INDEX(CALCULO!$D$79:$M$79,3)=1,INDEX(CALCULO!$D$98:$M$98,3),"—")</f>
        <v>0.255942834187079</v>
      </c>
      <c r="N25" s="15" t="s">
        <v>78</v>
      </c>
      <c r="O25" s="16" t="s">
        <v>45</v>
      </c>
      <c r="P25" s="17" t="n">
        <f aca="false">INDEX(CALCULO!$D$78:$M$78,MATCH(MAX(CALCULO!$D$96:$M$96),CALCULO!$D$96:$M$96,0))/1000</f>
        <v>5.5</v>
      </c>
      <c r="Q25" s="17" t="n">
        <f aca="false">w_bs/1000</f>
        <v>53.30772</v>
      </c>
      <c r="R25" s="18" t="s">
        <v>32</v>
      </c>
      <c r="S25" s="19" t="n">
        <f aca="false">MAX(CALCULO!$D$96:$M$96)</f>
        <v>0.103174549577435</v>
      </c>
      <c r="T25" s="20" t="str">
        <f aca="false">IF(ISNUMBER(S25),IF(S25&gt;1,"NO CUMPLE",IF(S25&gt;lim_verde,"AL LÍMITE","CUMPLE")),"N/A")</f>
        <v>CUMPLE</v>
      </c>
      <c r="U25" s="18" t="str">
        <f aca="false">IF(ISNUMBER(S25),INDEX(CALCULO!$D$76:$M$76,MATCH(MAX(CALCULO!$D$96:$M$96),CALCULO!$D$96:$M$96,0)),"—")</f>
        <v>1.2D+1.6L</v>
      </c>
    </row>
    <row r="26" customFormat="false" ht="15" hidden="false" customHeight="false" outlineLevel="0" collapsed="false">
      <c r="B26" s="7" t="s">
        <v>79</v>
      </c>
      <c r="C26" s="8" t="n">
        <v>180</v>
      </c>
      <c r="D26" s="11" t="s">
        <v>29</v>
      </c>
      <c r="G26" s="8" t="s">
        <v>80</v>
      </c>
      <c r="H26" s="23"/>
      <c r="I26" s="23"/>
      <c r="J26" s="24" t="str">
        <f aca="false">IF(INDEX(CALCULO!$D$79:$M$79,4)=1,INDEX(CALCULO!$D$98:$M$98,4),"—")</f>
        <v>—</v>
      </c>
      <c r="N26" s="15" t="s">
        <v>81</v>
      </c>
      <c r="O26" s="16" t="s">
        <v>82</v>
      </c>
      <c r="P26" s="17" t="n">
        <f aca="false">INDEX(CALCULO!$D$78:$M$78,MATCH(MAX(CALCULO!$D$97:$M$97),CALCULO!$D$97:$M$97,0))/1000</f>
        <v>5.5</v>
      </c>
      <c r="Q26" s="17" t="n">
        <f aca="false">w_bvr/1000</f>
        <v>41.12897175</v>
      </c>
      <c r="R26" s="18" t="s">
        <v>32</v>
      </c>
      <c r="S26" s="19" t="n">
        <f aca="false">MAX(CALCULO!$D$97:$M$97)</f>
        <v>0.133725686930163</v>
      </c>
      <c r="T26" s="20" t="str">
        <f aca="false">IF(ISNUMBER(S26),IF(S26&gt;1,"NO CUMPLE",IF(S26&gt;lim_verde,"AL LÍMITE","CUMPLE")),"N/A")</f>
        <v>CUMPLE</v>
      </c>
      <c r="U26" s="18" t="str">
        <f aca="false">IF(ISNUMBER(S26),INDEX(CALCULO!$D$76:$M$76,MATCH(MAX(CALCULO!$D$97:$M$97),CALCULO!$D$97:$M$97,0)),"—")</f>
        <v>1.2D+1.6L</v>
      </c>
    </row>
    <row r="27" customFormat="false" ht="15" hidden="false" customHeight="false" outlineLevel="0" collapsed="false">
      <c r="B27" s="7" t="s">
        <v>83</v>
      </c>
      <c r="C27" s="8" t="n">
        <v>12</v>
      </c>
      <c r="D27" s="11" t="s">
        <v>29</v>
      </c>
      <c r="G27" s="8" t="s">
        <v>84</v>
      </c>
      <c r="H27" s="23"/>
      <c r="I27" s="23"/>
      <c r="J27" s="24" t="str">
        <f aca="false">IF(INDEX(CALCULO!$D$79:$M$79,5)=1,INDEX(CALCULO!$D$98:$M$98,5),"—")</f>
        <v>—</v>
      </c>
      <c r="N27" s="13" t="s">
        <v>85</v>
      </c>
      <c r="O27" s="13"/>
      <c r="P27" s="13"/>
      <c r="Q27" s="13"/>
      <c r="R27" s="13"/>
      <c r="S27" s="13"/>
      <c r="T27" s="13"/>
      <c r="U27" s="13"/>
    </row>
    <row r="28" customFormat="false" ht="15" hidden="false" customHeight="false" outlineLevel="0" collapsed="false">
      <c r="B28" s="7" t="s">
        <v>86</v>
      </c>
      <c r="C28" s="8" t="s">
        <v>87</v>
      </c>
      <c r="D28" s="11"/>
      <c r="G28" s="8" t="s">
        <v>88</v>
      </c>
      <c r="H28" s="23"/>
      <c r="I28" s="23"/>
      <c r="J28" s="24" t="str">
        <f aca="false">IF(INDEX(CALCULO!$D$79:$M$79,6)=1,INDEX(CALCULO!$D$98:$M$98,6),"—")</f>
        <v>—</v>
      </c>
      <c r="N28" s="15" t="s">
        <v>89</v>
      </c>
      <c r="O28" s="16" t="s">
        <v>90</v>
      </c>
      <c r="P28" s="17" t="n">
        <f aca="false">3*fa_db</f>
        <v>5.715</v>
      </c>
      <c r="Q28" s="17" t="n">
        <f aca="false">fa_s/10</f>
        <v>7.5</v>
      </c>
      <c r="R28" s="18" t="s">
        <v>91</v>
      </c>
      <c r="S28" s="19" t="n">
        <f aca="false">(3*fa_db)/MAX(fa_s/10,0.000000001)</f>
        <v>0.762</v>
      </c>
      <c r="T28" s="20" t="str">
        <f aca="false">IF(ISNUMBER(S28),IF(S28&gt;1,"NO CUMPLE",IF(S28&gt;lim_verde,"AL LÍMITE","CUMPLE")),"N/A")</f>
        <v>CUMPLE</v>
      </c>
      <c r="U28" s="18" t="s">
        <v>92</v>
      </c>
    </row>
    <row r="29" customFormat="false" ht="15" hidden="false" customHeight="false" outlineLevel="0" collapsed="false">
      <c r="B29" s="7" t="s">
        <v>93</v>
      </c>
      <c r="C29" s="8" t="n">
        <v>70</v>
      </c>
      <c r="D29" s="11" t="s">
        <v>29</v>
      </c>
      <c r="G29" s="8" t="s">
        <v>94</v>
      </c>
      <c r="H29" s="23"/>
      <c r="I29" s="23"/>
      <c r="J29" s="24" t="str">
        <f aca="false">IF(INDEX(CALCULO!$D$79:$M$79,7)=1,INDEX(CALCULO!$D$98:$M$98,7),"—")</f>
        <v>—</v>
      </c>
      <c r="N29" s="15" t="s">
        <v>95</v>
      </c>
      <c r="O29" s="16" t="s">
        <v>96</v>
      </c>
      <c r="P29" s="17" t="n">
        <f aca="false">fa_em</f>
        <v>2.54</v>
      </c>
      <c r="Q29" s="17" t="n">
        <f aca="false">fa_Leb/10</f>
        <v>4</v>
      </c>
      <c r="R29" s="18" t="s">
        <v>91</v>
      </c>
      <c r="S29" s="19" t="n">
        <f aca="false">(fa_em)/MAX(fa_Leb/10,0.000000001)</f>
        <v>0.635</v>
      </c>
      <c r="T29" s="20" t="str">
        <f aca="false">IF(ISNUMBER(S29),IF(S29&gt;1,"NO CUMPLE",IF(S29&gt;lim_verde,"AL LÍMITE","CUMPLE")),"N/A")</f>
        <v>CUMPLE</v>
      </c>
      <c r="U29" s="18" t="s">
        <v>92</v>
      </c>
    </row>
    <row r="30" customFormat="false" ht="15" hidden="false" customHeight="false" outlineLevel="0" collapsed="false">
      <c r="B30" s="7" t="s">
        <v>97</v>
      </c>
      <c r="C30" s="8" t="n">
        <v>10</v>
      </c>
      <c r="D30" s="11" t="s">
        <v>29</v>
      </c>
      <c r="G30" s="8" t="s">
        <v>98</v>
      </c>
      <c r="H30" s="23"/>
      <c r="I30" s="23"/>
      <c r="J30" s="24" t="str">
        <f aca="false">IF(INDEX(CALCULO!$D$79:$M$79,8)=1,INDEX(CALCULO!$D$98:$M$98,8),"—")</f>
        <v>—</v>
      </c>
      <c r="N30" s="15" t="s">
        <v>99</v>
      </c>
      <c r="O30" s="16" t="s">
        <v>96</v>
      </c>
      <c r="P30" s="17" t="n">
        <f aca="false">fa_em</f>
        <v>2.54</v>
      </c>
      <c r="Q30" s="17" t="n">
        <f aca="false">fa_Lep/10</f>
        <v>4</v>
      </c>
      <c r="R30" s="18" t="s">
        <v>91</v>
      </c>
      <c r="S30" s="19" t="n">
        <f aca="false">(fa_em)/MAX(fa_Lep/10,0.000000001)</f>
        <v>0.635</v>
      </c>
      <c r="T30" s="20" t="str">
        <f aca="false">IF(ISNUMBER(S30),IF(S30&gt;1,"NO CUMPLE",IF(S30&gt;lim_verde,"AL LÍMITE","CUMPLE")),"N/A")</f>
        <v>CUMPLE</v>
      </c>
      <c r="U30" s="18" t="s">
        <v>92</v>
      </c>
    </row>
    <row r="31" customFormat="false" ht="15" hidden="false" customHeight="false" outlineLevel="0" collapsed="false">
      <c r="B31" s="2" t="s">
        <v>100</v>
      </c>
      <c r="C31" s="2"/>
      <c r="D31" s="2"/>
      <c r="E31" s="2"/>
      <c r="G31" s="8" t="s">
        <v>101</v>
      </c>
      <c r="H31" s="23"/>
      <c r="I31" s="23"/>
      <c r="J31" s="24" t="str">
        <f aca="false">IF(INDEX(CALCULO!$D$79:$M$79,9)=1,INDEX(CALCULO!$D$98:$M$98,9),"—")</f>
        <v>—</v>
      </c>
      <c r="N31" s="15" t="s">
        <v>102</v>
      </c>
      <c r="O31" s="16" t="s">
        <v>96</v>
      </c>
      <c r="P31" s="17" t="n">
        <f aca="false">fa_em</f>
        <v>2.54</v>
      </c>
      <c r="Q31" s="17" t="n">
        <f aca="false">(pf_bo-fa_g)/20</f>
        <v>3.5</v>
      </c>
      <c r="R31" s="18" t="s">
        <v>91</v>
      </c>
      <c r="S31" s="19" t="n">
        <f aca="false">(fa_em)/MAX((pf_bo-fa_g)/20,0.000000001)</f>
        <v>0.725714285714286</v>
      </c>
      <c r="T31" s="20" t="str">
        <f aca="false">IF(ISNUMBER(S31),IF(S31&gt;1,"NO CUMPLE",IF(S31&gt;lim_verde,"AL LÍMITE","CUMPLE")),"N/A")</f>
        <v>CUMPLE</v>
      </c>
      <c r="U31" s="18" t="s">
        <v>92</v>
      </c>
    </row>
    <row r="32" customFormat="false" ht="15" hidden="false" customHeight="false" outlineLevel="0" collapsed="false">
      <c r="B32" s="7" t="s">
        <v>103</v>
      </c>
      <c r="C32" s="8" t="s">
        <v>104</v>
      </c>
      <c r="D32" s="8"/>
      <c r="E32" s="8"/>
      <c r="G32" s="8" t="s">
        <v>105</v>
      </c>
      <c r="H32" s="23"/>
      <c r="I32" s="23"/>
      <c r="J32" s="24" t="str">
        <f aca="false">IF(INDEX(CALCULO!$D$79:$M$79,10)=1,INDEX(CALCULO!$D$98:$M$98,10),"—")</f>
        <v>—</v>
      </c>
      <c r="N32" s="15" t="s">
        <v>106</v>
      </c>
      <c r="O32" s="16" t="s">
        <v>96</v>
      </c>
      <c r="P32" s="17" t="n">
        <f aca="false">fa_em</f>
        <v>2.54</v>
      </c>
      <c r="Q32" s="17" t="n">
        <f aca="false">(b_bf-fa_g/10)/2</f>
        <v>3.5</v>
      </c>
      <c r="R32" s="18" t="s">
        <v>91</v>
      </c>
      <c r="S32" s="19" t="n">
        <f aca="false">(fa_em)/MAX((b_bf-fa_g/10)/2,0.000000001)</f>
        <v>0.725714285714286</v>
      </c>
      <c r="T32" s="20" t="str">
        <f aca="false">IF(ISNUMBER(S32),IF(S32&gt;1,"NO CUMPLE",IF(S32&gt;lim_verde,"AL LÍMITE","CUMPLE")),"N/A")</f>
        <v>CUMPLE</v>
      </c>
      <c r="U32" s="18" t="s">
        <v>92</v>
      </c>
    </row>
    <row r="33" customFormat="false" ht="15" hidden="false" customHeight="false" outlineLevel="0" collapsed="false">
      <c r="B33" s="7" t="s">
        <v>107</v>
      </c>
      <c r="C33" s="8" t="s">
        <v>108</v>
      </c>
      <c r="D33" s="8"/>
      <c r="G33" s="25" t="s">
        <v>109</v>
      </c>
      <c r="N33" s="15" t="s">
        <v>110</v>
      </c>
      <c r="O33" s="16" t="s">
        <v>111</v>
      </c>
      <c r="P33" s="17" t="n">
        <f aca="false">IF(j_in=0,"—",pf_bi/10)</f>
        <v>7</v>
      </c>
      <c r="Q33" s="17" t="n">
        <f aca="false">IF(j_in=0,"—",(b_bf-b_tw)/2-vg_kw/10)</f>
        <v>8.1</v>
      </c>
      <c r="R33" s="18" t="s">
        <v>91</v>
      </c>
      <c r="S33" s="19" t="n">
        <f aca="false">IF(j_in=0,"N/A",(pf_bi/10)/MAX((b_bf-b_tw)/2-vg_kw/10,0.000000001))</f>
        <v>0.864197530864198</v>
      </c>
      <c r="T33" s="20" t="str">
        <f aca="false">IF(ISNUMBER(S33),IF(S33&gt;1,"NO CUMPLE",IF(S33&gt;lim_verde,"AL LÍMITE","CUMPLE")),"N/A")</f>
        <v>CUMPLE</v>
      </c>
      <c r="U33" s="18" t="s">
        <v>92</v>
      </c>
    </row>
    <row r="34" customFormat="false" ht="15" hidden="false" customHeight="false" outlineLevel="0" collapsed="false">
      <c r="B34" s="7" t="s">
        <v>112</v>
      </c>
      <c r="C34" s="8" t="n">
        <v>3</v>
      </c>
      <c r="D34" s="11"/>
      <c r="N34" s="15" t="s">
        <v>113</v>
      </c>
      <c r="O34" s="16" t="s">
        <v>111</v>
      </c>
      <c r="P34" s="17" t="n">
        <f aca="false">1.5*fa_db</f>
        <v>2.8575</v>
      </c>
      <c r="Q34" s="17" t="n">
        <f aca="false">fa_g/20-b_tw/2</f>
        <v>5.2</v>
      </c>
      <c r="R34" s="18" t="s">
        <v>91</v>
      </c>
      <c r="S34" s="19" t="n">
        <f aca="false">(1.5*fa_db)/MAX(fa_g/20-b_tw/2,0.000000001)</f>
        <v>0.549519230769231</v>
      </c>
      <c r="T34" s="20" t="str">
        <f aca="false">IF(ISNUMBER(S34),IF(S34&gt;1,"NO CUMPLE",IF(S34&gt;lim_verde,"AL LÍMITE","CUMPLE")),"N/A")</f>
        <v>CUMPLE</v>
      </c>
      <c r="U34" s="18" t="s">
        <v>92</v>
      </c>
    </row>
    <row r="35" customFormat="false" ht="15" hidden="false" customHeight="false" outlineLevel="0" collapsed="false">
      <c r="B35" s="7" t="s">
        <v>114</v>
      </c>
      <c r="C35" s="8" t="n">
        <v>110</v>
      </c>
      <c r="D35" s="11" t="s">
        <v>29</v>
      </c>
      <c r="G35" s="2" t="s">
        <v>115</v>
      </c>
      <c r="H35" s="2"/>
      <c r="I35" s="2"/>
      <c r="J35" s="2"/>
      <c r="K35" s="2"/>
      <c r="L35" s="2"/>
      <c r="N35" s="15" t="s">
        <v>116</v>
      </c>
      <c r="O35" s="16" t="s">
        <v>111</v>
      </c>
      <c r="P35" s="17" t="n">
        <f aca="false">pw_h/10</f>
        <v>28</v>
      </c>
      <c r="Q35" s="17" t="n">
        <f aca="false">b_d-2*IF(j_in=1,b_tf+pf_ti/10,b_k)-1</f>
        <v>34.6</v>
      </c>
      <c r="R35" s="18" t="s">
        <v>91</v>
      </c>
      <c r="S35" s="19" t="n">
        <f aca="false">(pw_h/10)/MAX(b_d-2*IF(j_in=1,b_tf+pf_ti/10,b_k)-1,0.000000001)</f>
        <v>0.809248554913295</v>
      </c>
      <c r="T35" s="20" t="str">
        <f aca="false">IF(ISNUMBER(S35),IF(S35&gt;1,"NO CUMPLE",IF(S35&gt;lim_verde,"AL LÍMITE","CUMPLE")),"N/A")</f>
        <v>CUMPLE</v>
      </c>
      <c r="U35" s="18" t="s">
        <v>92</v>
      </c>
    </row>
    <row r="36" customFormat="false" ht="15" hidden="false" customHeight="false" outlineLevel="0" collapsed="false">
      <c r="B36" s="7" t="s">
        <v>117</v>
      </c>
      <c r="C36" s="8" t="n">
        <v>75</v>
      </c>
      <c r="D36" s="11" t="s">
        <v>29</v>
      </c>
      <c r="G36" s="26" t="s">
        <v>118</v>
      </c>
      <c r="H36" s="27" t="str">
        <f aca="false">G23</f>
        <v>1.2D+1.6L</v>
      </c>
      <c r="I36" s="27"/>
      <c r="K36" s="28" t="n">
        <f aca="false">IFERROR(MATCH(H36,cb_nom,0),1)</f>
        <v>1</v>
      </c>
      <c r="N36" s="15" t="s">
        <v>119</v>
      </c>
      <c r="O36" s="16" t="s">
        <v>90</v>
      </c>
      <c r="P36" s="17" t="n">
        <f aca="false">3*wa_db</f>
        <v>5.715</v>
      </c>
      <c r="Q36" s="17" t="n">
        <f aca="false">wa_sv/10</f>
        <v>7.5</v>
      </c>
      <c r="R36" s="18" t="s">
        <v>91</v>
      </c>
      <c r="S36" s="19" t="n">
        <f aca="false">(3*wa_db)/MAX(wa_sv/10,0.000000001)</f>
        <v>0.762</v>
      </c>
      <c r="T36" s="20" t="str">
        <f aca="false">IF(ISNUMBER(S36),IF(S36&gt;1,"NO CUMPLE",IF(S36&gt;lim_verde,"AL LÍMITE","CUMPLE")),"N/A")</f>
        <v>CUMPLE</v>
      </c>
      <c r="U36" s="18" t="s">
        <v>92</v>
      </c>
    </row>
    <row r="37" customFormat="false" ht="15" hidden="false" customHeight="false" outlineLevel="0" collapsed="false">
      <c r="B37" s="7" t="s">
        <v>120</v>
      </c>
      <c r="C37" s="8" t="n">
        <v>40</v>
      </c>
      <c r="D37" s="11" t="s">
        <v>29</v>
      </c>
      <c r="G37" s="29" t="s">
        <v>121</v>
      </c>
      <c r="H37" s="29"/>
      <c r="I37" s="29"/>
      <c r="J37" s="30" t="n">
        <f aca="false">INDEX(CALCULO!$D$80:$M$80,det_k)/100000</f>
        <v>0</v>
      </c>
      <c r="K37" s="30"/>
      <c r="L37" s="11" t="s">
        <v>55</v>
      </c>
      <c r="N37" s="15" t="s">
        <v>122</v>
      </c>
      <c r="O37" s="16" t="s">
        <v>96</v>
      </c>
      <c r="P37" s="17" t="n">
        <f aca="false">wa_em</f>
        <v>2.54</v>
      </c>
      <c r="Q37" s="17" t="n">
        <f aca="false">wa_Leb/10</f>
        <v>4</v>
      </c>
      <c r="R37" s="18" t="s">
        <v>91</v>
      </c>
      <c r="S37" s="19" t="n">
        <f aca="false">(wa_em)/MAX(wa_Leb/10,0.000000001)</f>
        <v>0.635</v>
      </c>
      <c r="T37" s="20" t="str">
        <f aca="false">IF(ISNUMBER(S37),IF(S37&gt;1,"NO CUMPLE",IF(S37&gt;lim_verde,"AL LÍMITE","CUMPLE")),"N/A")</f>
        <v>CUMPLE</v>
      </c>
      <c r="U37" s="18" t="s">
        <v>92</v>
      </c>
    </row>
    <row r="38" customFormat="false" ht="15" hidden="false" customHeight="false" outlineLevel="0" collapsed="false">
      <c r="B38" s="7" t="s">
        <v>123</v>
      </c>
      <c r="C38" s="8" t="n">
        <v>40</v>
      </c>
      <c r="D38" s="11" t="s">
        <v>29</v>
      </c>
      <c r="G38" s="29" t="s">
        <v>124</v>
      </c>
      <c r="H38" s="29"/>
      <c r="I38" s="29"/>
      <c r="J38" s="30" t="n">
        <f aca="false">INDEX(CALCULO!$D$81:$M$81,det_k)/1000</f>
        <v>23.1958762886598</v>
      </c>
      <c r="K38" s="30"/>
      <c r="L38" s="11" t="s">
        <v>32</v>
      </c>
      <c r="N38" s="15" t="s">
        <v>125</v>
      </c>
      <c r="O38" s="16" t="s">
        <v>96</v>
      </c>
      <c r="P38" s="17" t="n">
        <f aca="false">wa_em</f>
        <v>2.54</v>
      </c>
      <c r="Q38" s="17" t="n">
        <f aca="false">wa_Lep/10</f>
        <v>4</v>
      </c>
      <c r="R38" s="18" t="s">
        <v>91</v>
      </c>
      <c r="S38" s="19" t="n">
        <f aca="false">(wa_em)/MAX(wa_Lep/10,0.000000001)</f>
        <v>0.635</v>
      </c>
      <c r="T38" s="20" t="str">
        <f aca="false">IF(ISNUMBER(S38),IF(S38&gt;1,"NO CUMPLE",IF(S38&gt;lim_verde,"AL LÍMITE","CUMPLE")),"N/A")</f>
        <v>CUMPLE</v>
      </c>
      <c r="U38" s="18" t="s">
        <v>92</v>
      </c>
    </row>
    <row r="39" customFormat="false" ht="15" hidden="false" customHeight="false" outlineLevel="0" collapsed="false">
      <c r="B39" s="2" t="s">
        <v>126</v>
      </c>
      <c r="C39" s="2"/>
      <c r="D39" s="2"/>
      <c r="E39" s="2"/>
      <c r="G39" s="29" t="s">
        <v>127</v>
      </c>
      <c r="H39" s="29"/>
      <c r="I39" s="29"/>
      <c r="J39" s="31" t="n">
        <f aca="false">INDEX(CALCULO!$D$90:$M$90,det_k)/100000</f>
        <v>0.2475</v>
      </c>
      <c r="K39" s="31"/>
      <c r="L39" s="11" t="s">
        <v>55</v>
      </c>
      <c r="N39" s="15" t="s">
        <v>128</v>
      </c>
      <c r="O39" s="16" t="s">
        <v>96</v>
      </c>
      <c r="P39" s="17" t="n">
        <f aca="false">wa_em</f>
        <v>2.54</v>
      </c>
      <c r="Q39" s="17" t="n">
        <f aca="false">(pw_h/10-(wa_nr-1)*wa_sv/10)/2</f>
        <v>6.5</v>
      </c>
      <c r="R39" s="18" t="s">
        <v>91</v>
      </c>
      <c r="S39" s="19" t="n">
        <f aca="false">(wa_em)/MAX((pw_h/10-(wa_nr-1)*wa_sv/10)/2,0.000000001)</f>
        <v>0.390769230769231</v>
      </c>
      <c r="T39" s="20" t="str">
        <f aca="false">IF(ISNUMBER(S39),IF(S39&gt;1,"NO CUMPLE",IF(S39&gt;lim_verde,"AL LÍMITE","CUMPLE")),"N/A")</f>
        <v>CUMPLE</v>
      </c>
      <c r="U39" s="18" t="s">
        <v>92</v>
      </c>
    </row>
    <row r="40" customFormat="false" ht="15" hidden="false" customHeight="false" outlineLevel="0" collapsed="false">
      <c r="B40" s="7" t="s">
        <v>42</v>
      </c>
      <c r="C40" s="8" t="s">
        <v>129</v>
      </c>
      <c r="D40" s="8"/>
      <c r="G40" s="29" t="s">
        <v>130</v>
      </c>
      <c r="H40" s="29"/>
      <c r="I40" s="29"/>
      <c r="J40" s="30" t="n">
        <f aca="false">INDEX(CALCULO!$D$91:$M$91,det_k)/1000</f>
        <v>2.46649774196351</v>
      </c>
      <c r="K40" s="30"/>
      <c r="L40" s="11" t="s">
        <v>32</v>
      </c>
    </row>
    <row r="41" customFormat="false" ht="15" hidden="false" customHeight="false" outlineLevel="0" collapsed="false">
      <c r="B41" s="7" t="s">
        <v>46</v>
      </c>
      <c r="C41" s="21" t="n">
        <f aca="false">INDEX(CATALOGOS!$H$5:$H$10,MATCH(pw_acero,CATALOGOS!$G$5:$G$10,0))</f>
        <v>2530</v>
      </c>
      <c r="D41" s="11" t="s">
        <v>47</v>
      </c>
      <c r="E41" s="21" t="n">
        <f aca="false">INDEX(CATALOGOS!$I$5:$I$10,MATCH(pw_acero,CATALOGOS!$G$5:$G$10,0))</f>
        <v>4080</v>
      </c>
      <c r="G41" s="29" t="s">
        <v>131</v>
      </c>
      <c r="H41" s="29"/>
      <c r="I41" s="29"/>
      <c r="J41" s="32" t="n">
        <f aca="false">2*(fa_Leb/10+(fa_n-1)*fa_s/10+fa_Lep/10)+k_gap</f>
        <v>47</v>
      </c>
      <c r="K41" s="32"/>
      <c r="L41" s="11" t="s">
        <v>91</v>
      </c>
    </row>
    <row r="42" customFormat="false" ht="15" hidden="false" customHeight="false" outlineLevel="0" collapsed="false">
      <c r="B42" s="7" t="s">
        <v>132</v>
      </c>
      <c r="C42" s="8" t="n">
        <v>280</v>
      </c>
      <c r="D42" s="11" t="s">
        <v>29</v>
      </c>
      <c r="G42" s="29" t="s">
        <v>133</v>
      </c>
      <c r="H42" s="29"/>
      <c r="I42" s="29"/>
      <c r="J42" s="32" t="n">
        <f aca="false">2*(wa_Leb/10+(wa_nc-1)*wa_sh/10+wa_Lep/10)+k_gap</f>
        <v>17</v>
      </c>
      <c r="K42" s="32"/>
      <c r="L42" s="11" t="s">
        <v>91</v>
      </c>
      <c r="N42" s="2" t="s">
        <v>134</v>
      </c>
      <c r="O42" s="2"/>
      <c r="P42" s="2"/>
      <c r="Q42" s="2"/>
      <c r="R42" s="2"/>
      <c r="S42" s="2"/>
      <c r="T42" s="2"/>
      <c r="U42" s="2"/>
    </row>
    <row r="43" customFormat="false" ht="15" hidden="false" customHeight="false" outlineLevel="0" collapsed="false">
      <c r="B43" s="7" t="s">
        <v>135</v>
      </c>
      <c r="C43" s="8" t="n">
        <v>8</v>
      </c>
      <c r="D43" s="11" t="s">
        <v>29</v>
      </c>
      <c r="G43" s="29" t="s">
        <v>136</v>
      </c>
      <c r="H43" s="29"/>
      <c r="I43" s="29"/>
      <c r="J43" s="30" t="n">
        <f aca="false">INDEX(CALCULO!$D$98:$M$98,det_k)</f>
        <v>0.336735245318013</v>
      </c>
      <c r="K43" s="30"/>
      <c r="L43" s="11"/>
      <c r="N43" s="33" t="s">
        <v>137</v>
      </c>
      <c r="O43" s="33"/>
      <c r="P43" s="33"/>
      <c r="Q43" s="33"/>
      <c r="R43" s="33"/>
      <c r="S43" s="33"/>
      <c r="T43" s="33"/>
      <c r="U43" s="33"/>
    </row>
    <row r="44" customFormat="false" ht="15" hidden="false" customHeight="false" outlineLevel="0" collapsed="false">
      <c r="B44" s="2" t="s">
        <v>138</v>
      </c>
      <c r="C44" s="2"/>
      <c r="D44" s="2"/>
      <c r="E44" s="2"/>
      <c r="N44" s="33" t="s">
        <v>139</v>
      </c>
      <c r="O44" s="33"/>
      <c r="P44" s="33"/>
      <c r="Q44" s="33"/>
      <c r="R44" s="33"/>
      <c r="S44" s="33"/>
      <c r="T44" s="33"/>
      <c r="U44" s="33"/>
    </row>
    <row r="45" customFormat="false" ht="15" hidden="false" customHeight="false" outlineLevel="0" collapsed="false">
      <c r="B45" s="7" t="s">
        <v>103</v>
      </c>
      <c r="C45" s="8" t="s">
        <v>104</v>
      </c>
      <c r="D45" s="8"/>
      <c r="E45" s="8"/>
      <c r="N45" s="33" t="s">
        <v>140</v>
      </c>
      <c r="O45" s="33"/>
      <c r="P45" s="33"/>
      <c r="Q45" s="33"/>
      <c r="R45" s="33"/>
      <c r="S45" s="33"/>
      <c r="T45" s="33"/>
      <c r="U45" s="33"/>
    </row>
    <row r="46" customFormat="false" ht="15" hidden="false" customHeight="false" outlineLevel="0" collapsed="false">
      <c r="B46" s="7" t="s">
        <v>107</v>
      </c>
      <c r="C46" s="8" t="s">
        <v>108</v>
      </c>
      <c r="D46" s="8"/>
      <c r="N46" s="33" t="s">
        <v>141</v>
      </c>
      <c r="O46" s="33"/>
      <c r="P46" s="33"/>
      <c r="Q46" s="33"/>
      <c r="R46" s="33"/>
      <c r="S46" s="33"/>
      <c r="T46" s="33"/>
      <c r="U46" s="33"/>
    </row>
    <row r="47" customFormat="false" ht="15" hidden="false" customHeight="false" outlineLevel="0" collapsed="false">
      <c r="B47" s="7" t="s">
        <v>142</v>
      </c>
      <c r="C47" s="8" t="n">
        <v>3</v>
      </c>
      <c r="D47" s="11"/>
      <c r="N47" s="33" t="s">
        <v>143</v>
      </c>
      <c r="O47" s="33"/>
      <c r="P47" s="33"/>
      <c r="Q47" s="33"/>
      <c r="R47" s="33"/>
      <c r="S47" s="33"/>
      <c r="T47" s="33"/>
      <c r="U47" s="33"/>
    </row>
    <row r="48" customFormat="false" ht="15" hidden="false" customHeight="false" outlineLevel="0" collapsed="false">
      <c r="B48" s="7" t="s">
        <v>144</v>
      </c>
      <c r="C48" s="8" t="n">
        <v>1</v>
      </c>
      <c r="D48" s="11"/>
      <c r="N48" s="33" t="s">
        <v>145</v>
      </c>
      <c r="O48" s="33"/>
      <c r="P48" s="33"/>
      <c r="Q48" s="33"/>
      <c r="R48" s="33"/>
      <c r="S48" s="33"/>
      <c r="T48" s="33"/>
      <c r="U48" s="33"/>
    </row>
    <row r="49" customFormat="false" ht="15" hidden="false" customHeight="false" outlineLevel="0" collapsed="false">
      <c r="B49" s="7" t="s">
        <v>146</v>
      </c>
      <c r="C49" s="8" t="n">
        <v>75</v>
      </c>
      <c r="D49" s="11" t="s">
        <v>29</v>
      </c>
    </row>
    <row r="50" customFormat="false" ht="15" hidden="false" customHeight="false" outlineLevel="0" collapsed="false">
      <c r="B50" s="7" t="s">
        <v>147</v>
      </c>
      <c r="C50" s="8" t="n">
        <v>75</v>
      </c>
      <c r="D50" s="11" t="s">
        <v>29</v>
      </c>
    </row>
    <row r="51" customFormat="false" ht="15" hidden="false" customHeight="false" outlineLevel="0" collapsed="false">
      <c r="B51" s="7" t="s">
        <v>148</v>
      </c>
      <c r="C51" s="8" t="n">
        <v>40</v>
      </c>
      <c r="D51" s="11" t="s">
        <v>29</v>
      </c>
    </row>
    <row r="52" customFormat="false" ht="15" hidden="false" customHeight="false" outlineLevel="0" collapsed="false">
      <c r="B52" s="7" t="s">
        <v>149</v>
      </c>
      <c r="C52" s="8" t="n">
        <v>40</v>
      </c>
      <c r="D52" s="11" t="s">
        <v>29</v>
      </c>
    </row>
  </sheetData>
  <mergeCells count="52">
    <mergeCell ref="B2:U2"/>
    <mergeCell ref="B3:U3"/>
    <mergeCell ref="B6:E6"/>
    <mergeCell ref="G6:I6"/>
    <mergeCell ref="J6:L6"/>
    <mergeCell ref="N6:U6"/>
    <mergeCell ref="C7:E7"/>
    <mergeCell ref="N7:U8"/>
    <mergeCell ref="C8:E8"/>
    <mergeCell ref="B10:E10"/>
    <mergeCell ref="C11:D11"/>
    <mergeCell ref="N11:U11"/>
    <mergeCell ref="C16:D16"/>
    <mergeCell ref="B19:E19"/>
    <mergeCell ref="N20:U20"/>
    <mergeCell ref="C21:E21"/>
    <mergeCell ref="G21:L21"/>
    <mergeCell ref="C22:E22"/>
    <mergeCell ref="B23:E23"/>
    <mergeCell ref="C24:D24"/>
    <mergeCell ref="N27:U27"/>
    <mergeCell ref="B31:E31"/>
    <mergeCell ref="C32:E32"/>
    <mergeCell ref="C33:D33"/>
    <mergeCell ref="G35:L35"/>
    <mergeCell ref="H36:I36"/>
    <mergeCell ref="G37:I37"/>
    <mergeCell ref="J37:K37"/>
    <mergeCell ref="G38:I38"/>
    <mergeCell ref="J38:K38"/>
    <mergeCell ref="B39:E39"/>
    <mergeCell ref="G39:I39"/>
    <mergeCell ref="J39:K39"/>
    <mergeCell ref="C40:D40"/>
    <mergeCell ref="G40:I40"/>
    <mergeCell ref="J40:K40"/>
    <mergeCell ref="G41:I41"/>
    <mergeCell ref="J41:K41"/>
    <mergeCell ref="G42:I42"/>
    <mergeCell ref="J42:K42"/>
    <mergeCell ref="N42:U42"/>
    <mergeCell ref="G43:I43"/>
    <mergeCell ref="J43:K43"/>
    <mergeCell ref="N43:U43"/>
    <mergeCell ref="B44:E44"/>
    <mergeCell ref="N44:U44"/>
    <mergeCell ref="C45:E45"/>
    <mergeCell ref="N45:U45"/>
    <mergeCell ref="C46:D46"/>
    <mergeCell ref="N46:U46"/>
    <mergeCell ref="N47:U47"/>
    <mergeCell ref="N48:U48"/>
  </mergeCells>
  <conditionalFormatting sqref="E12:E15">
    <cfRule type="expression" priority="2" aboveAverage="0" equalAverage="0" bottom="0" percent="0" rank="0" text="" dxfId="0">
      <formula>$C$11&lt;&gt;"ARMADO (flejes soldados)"</formula>
    </cfRule>
  </conditionalFormatting>
  <conditionalFormatting sqref="C29:C30">
    <cfRule type="expression" priority="3" aboveAverage="0" equalAverage="0" bottom="0" percent="0" rank="0" text="" dxfId="0">
      <formula>$C$28&lt;&gt;"Sí"</formula>
    </cfRule>
  </conditionalFormatting>
  <conditionalFormatting sqref="S12:S39">
    <cfRule type="expression" priority="4" aboveAverage="0" equalAverage="0" bottom="0" percent="0" rank="0" text="" dxfId="1">
      <formula>AND(ISNUMBER(S12),S12&gt;1)</formula>
    </cfRule>
    <cfRule type="expression" priority="5" aboveAverage="0" equalAverage="0" bottom="0" percent="0" rank="0" text="" dxfId="2">
      <formula>AND(ISNUMBER(S12),S12&gt;lim_verde,S12&lt;=1)</formula>
    </cfRule>
    <cfRule type="expression" priority="6" aboveAverage="0" equalAverage="0" bottom="0" percent="0" rank="0" text="" dxfId="3">
      <formula>AND(ISNUMBER(S12),S12&lt;=lim_verde)</formula>
    </cfRule>
  </conditionalFormatting>
  <conditionalFormatting sqref="T12:T39">
    <cfRule type="expression" priority="7" aboveAverage="0" equalAverage="0" bottom="0" percent="0" rank="0" text="" dxfId="1">
      <formula>T12="NO CUMPLE"</formula>
    </cfRule>
    <cfRule type="expression" priority="8" aboveAverage="0" equalAverage="0" bottom="0" percent="0" rank="0" text="" dxfId="2">
      <formula>T12="AL LÍMITE"</formula>
    </cfRule>
    <cfRule type="expression" priority="9" aboveAverage="0" equalAverage="0" bottom="0" percent="0" rank="0" text="" dxfId="3">
      <formula>T12="CUMPLE"</formula>
    </cfRule>
    <cfRule type="expression" priority="10" aboveAverage="0" equalAverage="0" bottom="0" percent="0" rank="0" text="" dxfId="4">
      <formula>T12="N/A"</formula>
    </cfRule>
  </conditionalFormatting>
  <conditionalFormatting sqref="N7:U8">
    <cfRule type="expression" priority="11" aboveAverage="0" equalAverage="0" bottom="0" percent="0" rank="0" text="" dxfId="5">
      <formula>LEFT($N$7,1)="✖"</formula>
    </cfRule>
    <cfRule type="expression" priority="12" aboveAverage="0" equalAverage="0" bottom="0" percent="0" rank="0" text="" dxfId="6">
      <formula>LEFT($N$7,1)="▲"</formula>
    </cfRule>
    <cfRule type="expression" priority="13" aboveAverage="0" equalAverage="0" bottom="0" percent="0" rank="0" text="" dxfId="7">
      <formula>LEFT($N$7,1)="✔"</formula>
    </cfRule>
  </conditionalFormatting>
  <conditionalFormatting sqref="J23:J32">
    <cfRule type="expression" priority="14" aboveAverage="0" equalAverage="0" bottom="0" percent="0" rank="0" text="" dxfId="1">
      <formula>AND(ISNUMBER(J23),J23&gt;1)</formula>
    </cfRule>
    <cfRule type="expression" priority="15" aboveAverage="0" equalAverage="0" bottom="0" percent="0" rank="0" text="" dxfId="2">
      <formula>AND(ISNUMBER(J23),J23&gt;lim_verde,J23&lt;=1)</formula>
    </cfRule>
    <cfRule type="expression" priority="16" aboveAverage="0" equalAverage="0" bottom="0" percent="0" rank="0" text="" dxfId="3">
      <formula>AND(ISNUMBER(J23),J23&lt;=lim_verde)</formula>
    </cfRule>
  </conditionalFormatting>
  <dataValidations count="9">
    <dataValidation allowBlank="true" errorStyle="stop" operator="between" showDropDown="false" showErrorMessage="false" showInputMessage="false" sqref="C28" type="list">
      <formula1>CATALOGOS!$X$5:$X$6</formula1>
      <formula2>0</formula2>
    </dataValidation>
    <dataValidation allowBlank="true" error="Valor fuera de la lista. ¿Usarlo igual?" errorStyle="warning" operator="between" showDropDown="false" showErrorMessage="false" showInputMessage="false" sqref="C27 C30 C43" type="list">
      <formula1>CATALOGOS!$AB$5:$AB$25</formula1>
      <formula2>0</formula2>
    </dataValidation>
    <dataValidation allowBlank="true" errorStyle="stop" operator="between" showDropDown="false" showErrorMessage="false" showInputMessage="false" sqref="C11" type="list">
      <formula1>CATALOGOS!$A$5:$A$40</formula1>
      <formula2>0</formula2>
    </dataValidation>
    <dataValidation allowBlank="true" errorStyle="stop" operator="between" showDropDown="false" showErrorMessage="false" showInputMessage="false" sqref="C16 C24 C40" type="list">
      <formula1>CATALOGOS!$G$5:$G$10</formula1>
      <formula2>0</formula2>
    </dataValidation>
    <dataValidation allowBlank="true" errorStyle="stop" operator="between" showDropDown="false" showErrorMessage="false" showInputMessage="false" sqref="C21" type="list">
      <formula1>CATALOGOS!$Z$5:$Z$7</formula1>
      <formula2>0</formula2>
    </dataValidation>
    <dataValidation allowBlank="true" errorStyle="stop" operator="between" showDropDown="false" showErrorMessage="false" showInputMessage="false" sqref="C22" type="list">
      <formula1>"No (solo alas),Sí (por inercia)"</formula1>
      <formula2>0</formula2>
    </dataValidation>
    <dataValidation allowBlank="true" errorStyle="stop" operator="between" showDropDown="false" showErrorMessage="false" showInputMessage="false" sqref="C32 C45" type="list">
      <formula1>CATALOGOS!$K$5:$K$8</formula1>
      <formula2>0</formula2>
    </dataValidation>
    <dataValidation allowBlank="true" errorStyle="stop" operator="between" showDropDown="false" showErrorMessage="false" showInputMessage="false" sqref="C33 C46" type="list">
      <formula1>CATALOGOS!$O$5:$O$10</formula1>
      <formula2>0</formula2>
    </dataValidation>
    <dataValidation allowBlank="false" errorStyle="stop" operator="between" showDropDown="false" showErrorMessage="false" showInputMessage="false" sqref="H36" type="list">
      <formula1>$G$23:$G$32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5" topLeftCell="D76" activePane="bottomRight" state="frozen"/>
      <selection pane="topLeft" activeCell="A1" activeCellId="0" sqref="A1"/>
      <selection pane="topRight" activeCell="D1" activeCellId="0" sqref="D1"/>
      <selection pane="bottomLeft" activeCell="A76" activeCellId="0" sqref="A7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2"/>
    <col collapsed="false" customWidth="true" hidden="false" outlineLevel="0" max="3" min="3" style="0" width="14"/>
    <col collapsed="false" customWidth="true" hidden="false" outlineLevel="0" max="13" min="4" style="0" width="11"/>
  </cols>
  <sheetData>
    <row r="1" customFormat="false" ht="15" hidden="false" customHeight="false" outlineLevel="0" collapsed="false">
      <c r="A1" s="34" t="s">
        <v>150</v>
      </c>
    </row>
    <row r="2" customFormat="false" ht="15" hidden="false" customHeight="false" outlineLevel="0" collapsed="false">
      <c r="A2" s="3" t="s">
        <v>151</v>
      </c>
    </row>
    <row r="4" customFormat="false" ht="15" hidden="false" customHeight="false" outlineLevel="0" collapsed="false">
      <c r="A4" s="35" t="s">
        <v>152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customFormat="false" ht="15" hidden="false" customHeight="false" outlineLevel="0" collapsed="false">
      <c r="A5" s="36" t="s">
        <v>153</v>
      </c>
      <c r="B5" s="36" t="s">
        <v>154</v>
      </c>
      <c r="C5" s="36" t="s">
        <v>91</v>
      </c>
      <c r="D5" s="37" t="n">
        <f aca="false">vg_d_mm/10</f>
        <v>40</v>
      </c>
    </row>
    <row r="6" customFormat="false" ht="15" hidden="false" customHeight="false" outlineLevel="0" collapsed="false">
      <c r="A6" s="36" t="s">
        <v>155</v>
      </c>
      <c r="B6" s="36" t="s">
        <v>156</v>
      </c>
      <c r="C6" s="36" t="s">
        <v>91</v>
      </c>
      <c r="D6" s="37" t="n">
        <f aca="false">vg_bf_mm/10</f>
        <v>18</v>
      </c>
    </row>
    <row r="7" customFormat="false" ht="15" hidden="false" customHeight="false" outlineLevel="0" collapsed="false">
      <c r="A7" s="36" t="s">
        <v>157</v>
      </c>
      <c r="B7" s="36" t="s">
        <v>158</v>
      </c>
      <c r="C7" s="36" t="s">
        <v>91</v>
      </c>
      <c r="D7" s="37" t="n">
        <f aca="false">vg_tw_mm/10</f>
        <v>0.6</v>
      </c>
    </row>
    <row r="8" customFormat="false" ht="15" hidden="false" customHeight="false" outlineLevel="0" collapsed="false">
      <c r="A8" s="36" t="s">
        <v>159</v>
      </c>
      <c r="B8" s="36" t="s">
        <v>156</v>
      </c>
      <c r="C8" s="36" t="s">
        <v>91</v>
      </c>
      <c r="D8" s="37" t="n">
        <f aca="false">vg_tf_mm/10</f>
        <v>1.2</v>
      </c>
    </row>
    <row r="9" customFormat="false" ht="15" hidden="false" customHeight="false" outlineLevel="0" collapsed="false">
      <c r="A9" s="36" t="s">
        <v>160</v>
      </c>
      <c r="B9" s="36" t="s">
        <v>161</v>
      </c>
      <c r="C9" s="36" t="s">
        <v>91</v>
      </c>
      <c r="D9" s="37" t="n">
        <f aca="false">b_tf+vg_kw/10</f>
        <v>1.8</v>
      </c>
    </row>
    <row r="10" customFormat="false" ht="15" hidden="false" customHeight="false" outlineLevel="0" collapsed="false">
      <c r="A10" s="36" t="s">
        <v>162</v>
      </c>
      <c r="B10" s="36" t="s">
        <v>163</v>
      </c>
      <c r="C10" s="36" t="s">
        <v>164</v>
      </c>
      <c r="D10" s="38" t="n">
        <f aca="false">(b_bf*b_d^3-(b_bf-b_tw)*(b_d-2*b_tf)^3)/12</f>
        <v>18921.8048</v>
      </c>
    </row>
    <row r="11" customFormat="false" ht="15" hidden="false" customHeight="false" outlineLevel="0" collapsed="false">
      <c r="A11" s="36" t="s">
        <v>165</v>
      </c>
      <c r="B11" s="36" t="s">
        <v>166</v>
      </c>
      <c r="C11" s="36" t="s">
        <v>167</v>
      </c>
      <c r="D11" s="39" t="n">
        <f aca="false">b_Ix/(b_d/2)</f>
        <v>946.09024</v>
      </c>
    </row>
    <row r="12" customFormat="false" ht="15" hidden="false" customHeight="false" outlineLevel="0" collapsed="false">
      <c r="A12" s="36" t="s">
        <v>168</v>
      </c>
      <c r="B12" s="36" t="s">
        <v>169</v>
      </c>
      <c r="C12" s="36" t="s">
        <v>164</v>
      </c>
      <c r="D12" s="38" t="n">
        <f aca="false">b_tw*(b_d-2*b_tf)^3/12</f>
        <v>2657.8688</v>
      </c>
    </row>
    <row r="13" customFormat="false" ht="15" hidden="false" customHeight="false" outlineLevel="0" collapsed="false">
      <c r="A13" s="36" t="s">
        <v>170</v>
      </c>
      <c r="B13" s="36" t="s">
        <v>171</v>
      </c>
      <c r="C13" s="36" t="s">
        <v>91</v>
      </c>
      <c r="D13" s="37" t="n">
        <f aca="false">gap/10</f>
        <v>1</v>
      </c>
    </row>
    <row r="14" customFormat="false" ht="15" hidden="false" customHeight="false" outlineLevel="0" collapsed="false">
      <c r="A14" s="36" t="s">
        <v>172</v>
      </c>
      <c r="B14" s="36" t="s">
        <v>173</v>
      </c>
      <c r="C14" s="36" t="s">
        <v>47</v>
      </c>
      <c r="D14" s="38" t="n">
        <f aca="false">2040000</f>
        <v>2040000</v>
      </c>
    </row>
    <row r="15" customFormat="false" ht="15" hidden="false" customHeight="false" outlineLevel="0" collapsed="false">
      <c r="A15" s="36" t="s">
        <v>174</v>
      </c>
      <c r="B15" s="36" t="s">
        <v>175</v>
      </c>
      <c r="C15" s="36" t="s">
        <v>76</v>
      </c>
      <c r="D15" s="38" t="n">
        <f aca="false">IF(LEFT(junta,3)="Des",1,0)</f>
        <v>0</v>
      </c>
    </row>
    <row r="16" customFormat="false" ht="15" hidden="false" customHeight="false" outlineLevel="0" collapsed="false">
      <c r="A16" s="36" t="s">
        <v>176</v>
      </c>
      <c r="B16" s="36" t="s">
        <v>177</v>
      </c>
      <c r="C16" s="36" t="s">
        <v>76</v>
      </c>
      <c r="D16" s="40" t="n">
        <f aca="false">IF(RIGHT(junta,5)="0.50)",0.5,0.3)</f>
        <v>0.3</v>
      </c>
    </row>
    <row r="17" customFormat="false" ht="15" hidden="false" customHeight="false" outlineLevel="0" collapsed="false">
      <c r="A17" s="36" t="s">
        <v>178</v>
      </c>
      <c r="B17" s="36" t="s">
        <v>179</v>
      </c>
      <c r="C17" s="36" t="s">
        <v>76</v>
      </c>
      <c r="D17" s="38" t="n">
        <f aca="false">IF(pf_in="Sí",1,0)</f>
        <v>1</v>
      </c>
    </row>
    <row r="18" customFormat="false" ht="15" hidden="false" customHeight="false" outlineLevel="0" collapsed="false">
      <c r="A18" s="35" t="s">
        <v>180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</row>
    <row r="19" customFormat="false" ht="15" hidden="false" customHeight="false" outlineLevel="0" collapsed="false">
      <c r="A19" s="36" t="s">
        <v>181</v>
      </c>
      <c r="B19" s="36" t="s">
        <v>182</v>
      </c>
      <c r="C19" s="36" t="s">
        <v>183</v>
      </c>
      <c r="D19" s="37" t="n">
        <f aca="false">INDEX(CATALOGOS!$P$5:$P$10,MATCH(fa_diam,CATALOGOS!$O$5:$O$10,0))</f>
        <v>0.75</v>
      </c>
    </row>
    <row r="20" customFormat="false" ht="15" hidden="false" customHeight="false" outlineLevel="0" collapsed="false">
      <c r="A20" s="36" t="s">
        <v>181</v>
      </c>
      <c r="B20" s="36" t="s">
        <v>182</v>
      </c>
      <c r="C20" s="36" t="s">
        <v>91</v>
      </c>
      <c r="D20" s="37" t="n">
        <f aca="false">fa_dbi*2.54</f>
        <v>1.905</v>
      </c>
    </row>
    <row r="21" customFormat="false" ht="15" hidden="false" customHeight="false" outlineLevel="0" collapsed="false">
      <c r="A21" s="36" t="s">
        <v>184</v>
      </c>
      <c r="B21" s="36" t="s">
        <v>185</v>
      </c>
      <c r="C21" s="36" t="s">
        <v>186</v>
      </c>
      <c r="D21" s="37" t="n">
        <f aca="false">PI()*fa_db^2/4</f>
        <v>2.85022956992342</v>
      </c>
    </row>
    <row r="22" customFormat="false" ht="15" hidden="false" customHeight="false" outlineLevel="0" collapsed="false">
      <c r="A22" s="36" t="s">
        <v>187</v>
      </c>
      <c r="B22" s="36" t="s">
        <v>188</v>
      </c>
      <c r="C22" s="36" t="s">
        <v>91</v>
      </c>
      <c r="D22" s="37" t="n">
        <f aca="false">IF(fa_dbi&lt;1,fa_dbi+1/16,fa_dbi+1/8)*2.54</f>
        <v>2.06375</v>
      </c>
    </row>
    <row r="23" customFormat="false" ht="15" hidden="false" customHeight="false" outlineLevel="0" collapsed="false">
      <c r="A23" s="36" t="s">
        <v>189</v>
      </c>
      <c r="B23" s="36" t="s">
        <v>190</v>
      </c>
      <c r="C23" s="36" t="s">
        <v>91</v>
      </c>
      <c r="D23" s="37" t="n">
        <f aca="false">fa_dh+0.15875</f>
        <v>2.2225</v>
      </c>
    </row>
    <row r="24" customFormat="false" ht="15" hidden="false" customHeight="false" outlineLevel="0" collapsed="false">
      <c r="A24" s="36" t="s">
        <v>191</v>
      </c>
      <c r="B24" s="36" t="s">
        <v>192</v>
      </c>
      <c r="C24" s="36" t="s">
        <v>91</v>
      </c>
      <c r="D24" s="37" t="n">
        <f aca="false">INDEX(CATALOGOS!$Q$5:$Q$10,MATCH(fa_diam,CATALOGOS!$O$5:$O$10,0))*2.54</f>
        <v>2.54</v>
      </c>
    </row>
    <row r="25" customFormat="false" ht="15" hidden="false" customHeight="false" outlineLevel="0" collapsed="false">
      <c r="A25" s="36" t="s">
        <v>193</v>
      </c>
      <c r="B25" s="36" t="s">
        <v>194</v>
      </c>
      <c r="C25" s="36" t="s">
        <v>47</v>
      </c>
      <c r="D25" s="38" t="n">
        <f aca="false">INDEX(CATALOGOS!$L$5:$L$8,MATCH(fa_grado,CATALOGOS!$K$5:$K$8,0))</f>
        <v>3797</v>
      </c>
    </row>
    <row r="26" customFormat="false" ht="15" hidden="false" customHeight="false" outlineLevel="0" collapsed="false">
      <c r="A26" s="36" t="s">
        <v>195</v>
      </c>
      <c r="B26" s="36" t="s">
        <v>196</v>
      </c>
      <c r="C26" s="36" t="s">
        <v>197</v>
      </c>
      <c r="D26" s="38" t="n">
        <f aca="false">IF(INDEX(CATALOGOS!$M$5:$M$8,MATCH(fa_grado,CATALOGOS!$K$5:$K$8,0))="A",INDEX(CATALOGOS!$R$5:$R$10,MATCH(fa_diam,CATALOGOS!$O$5:$O$10,0)),INDEX(CATALOGOS!$S$5:$S$10,MATCH(fa_diam,CATALOGOS!$O$5:$O$10,0)))</f>
        <v>12701</v>
      </c>
    </row>
    <row r="27" customFormat="false" ht="15" hidden="false" customHeight="false" outlineLevel="0" collapsed="false">
      <c r="A27" s="36" t="s">
        <v>198</v>
      </c>
      <c r="B27" s="36" t="s">
        <v>199</v>
      </c>
      <c r="C27" s="36" t="s">
        <v>76</v>
      </c>
      <c r="D27" s="38" t="n">
        <f aca="false">2*fa_n</f>
        <v>6</v>
      </c>
    </row>
    <row r="28" customFormat="false" ht="15" hidden="false" customHeight="false" outlineLevel="0" collapsed="false">
      <c r="A28" s="36" t="s">
        <v>200</v>
      </c>
      <c r="B28" s="36" t="s">
        <v>201</v>
      </c>
      <c r="C28" s="36" t="s">
        <v>76</v>
      </c>
      <c r="D28" s="38" t="n">
        <f aca="false">1+j_in</f>
        <v>2</v>
      </c>
    </row>
    <row r="29" customFormat="false" ht="15" hidden="false" customHeight="false" outlineLevel="0" collapsed="false">
      <c r="A29" s="36" t="s">
        <v>202</v>
      </c>
      <c r="B29" s="36" t="s">
        <v>203</v>
      </c>
      <c r="C29" s="36" t="s">
        <v>197</v>
      </c>
      <c r="D29" s="38" t="n">
        <f aca="false">IF(j_sc=1,1*j_mu*1.13*fa_Tb*f_ns,0.75*fa_Fnv*fa_Ab*f_ns)</f>
        <v>16233.4825154989</v>
      </c>
    </row>
    <row r="30" customFormat="false" ht="15" hidden="false" customHeight="false" outlineLevel="0" collapsed="false">
      <c r="A30" s="36" t="s">
        <v>204</v>
      </c>
      <c r="B30" s="36" t="s">
        <v>205</v>
      </c>
      <c r="C30" s="36" t="s">
        <v>197</v>
      </c>
      <c r="D30" s="38" t="n">
        <f aca="false">0.75*fa_Fnv*fa_Ab*f_ns</f>
        <v>16233.4825154989</v>
      </c>
    </row>
    <row r="31" customFormat="false" ht="15" hidden="false" customHeight="false" outlineLevel="0" collapsed="false">
      <c r="A31" s="36" t="s">
        <v>206</v>
      </c>
      <c r="B31" s="36" t="s">
        <v>207</v>
      </c>
      <c r="C31" s="36" t="s">
        <v>91</v>
      </c>
      <c r="D31" s="37" t="n">
        <f aca="false">MIN(fa_Leb/10-fa_dh/2,fa_s/10-fa_dh)</f>
        <v>2.968125</v>
      </c>
    </row>
    <row r="32" customFormat="false" ht="15" hidden="false" customHeight="false" outlineLevel="0" collapsed="false">
      <c r="A32" s="36" t="s">
        <v>208</v>
      </c>
      <c r="B32" s="36" t="s">
        <v>209</v>
      </c>
      <c r="C32" s="36" t="s">
        <v>91</v>
      </c>
      <c r="D32" s="37" t="n">
        <f aca="false">MIN(fa_Lep/10-fa_dh/2,fa_s/10-fa_dh)</f>
        <v>2.968125</v>
      </c>
    </row>
    <row r="33" customFormat="false" ht="15" hidden="false" customHeight="false" outlineLevel="0" collapsed="false">
      <c r="A33" s="36" t="s">
        <v>202</v>
      </c>
      <c r="B33" s="36" t="s">
        <v>210</v>
      </c>
      <c r="C33" s="36" t="s">
        <v>197</v>
      </c>
      <c r="D33" s="38" t="n">
        <f aca="false">0.75*MIN(1.2*f_Lcb,2.4*fa_db)*b_tf*vg_Fu</f>
        <v>14649.47775</v>
      </c>
    </row>
    <row r="34" customFormat="false" ht="15" hidden="false" customHeight="false" outlineLevel="0" collapsed="false">
      <c r="A34" s="36" t="s">
        <v>202</v>
      </c>
      <c r="B34" s="36" t="s">
        <v>211</v>
      </c>
      <c r="C34" s="36" t="s">
        <v>197</v>
      </c>
      <c r="D34" s="38" t="n">
        <f aca="false">0.75*MIN(1.2*f_Lcp,2.4*fa_db)*(pf_to+j_in*pf_ti)/10*pf_Fu</f>
        <v>26857.375875</v>
      </c>
    </row>
    <row r="35" customFormat="false" ht="15" hidden="false" customHeight="false" outlineLevel="0" collapsed="false">
      <c r="A35" s="36" t="s">
        <v>212</v>
      </c>
      <c r="B35" s="36" t="s">
        <v>213</v>
      </c>
      <c r="C35" s="36" t="s">
        <v>186</v>
      </c>
      <c r="D35" s="40" t="n">
        <f aca="false">pf_bo/10*pf_to/10+j_in*2*pf_bi/10*pf_ti/10</f>
        <v>35.6</v>
      </c>
    </row>
    <row r="36" customFormat="false" ht="15" hidden="false" customHeight="false" outlineLevel="0" collapsed="false">
      <c r="A36" s="36" t="s">
        <v>214</v>
      </c>
      <c r="B36" s="36" t="s">
        <v>215</v>
      </c>
      <c r="C36" s="36" t="s">
        <v>186</v>
      </c>
      <c r="D36" s="40" t="n">
        <f aca="false">MIN((pf_bo/10-2*fa_dn)*pf_to/10+j_in*2*(pf_bi/10-fa_dn)*pf_ti/10,0.85*p_Ag)</f>
        <v>25.821</v>
      </c>
    </row>
    <row r="37" customFormat="false" ht="15" hidden="false" customHeight="false" outlineLevel="0" collapsed="false">
      <c r="A37" s="36" t="s">
        <v>216</v>
      </c>
      <c r="B37" s="36" t="s">
        <v>217</v>
      </c>
      <c r="C37" s="36" t="s">
        <v>197</v>
      </c>
      <c r="D37" s="38" t="n">
        <f aca="false">0.9*pf_Fy*p_Ag</f>
        <v>112620.6</v>
      </c>
    </row>
    <row r="38" customFormat="false" ht="15" hidden="false" customHeight="false" outlineLevel="0" collapsed="false">
      <c r="A38" s="36" t="s">
        <v>216</v>
      </c>
      <c r="B38" s="36" t="s">
        <v>218</v>
      </c>
      <c r="C38" s="36" t="s">
        <v>197</v>
      </c>
      <c r="D38" s="38" t="n">
        <f aca="false">0.75*pf_Fu*p_An</f>
        <v>88501.4775</v>
      </c>
    </row>
    <row r="39" customFormat="false" ht="15" hidden="false" customHeight="false" outlineLevel="0" collapsed="false">
      <c r="A39" s="36" t="s">
        <v>216</v>
      </c>
      <c r="B39" s="36" t="s">
        <v>219</v>
      </c>
      <c r="C39" s="36" t="s">
        <v>197</v>
      </c>
      <c r="D39" s="38" t="n">
        <f aca="false">MIN(0.75*(MIN(0.6*pf_Fu*(2*(fa_Lep/10+(fa_n-1)*fa_s/10)-2*(fa_n-0.5)*fa_dn),0.6*pf_Fy*2*(fa_Lep/10+(fa_n-1)*fa_s/10))*pf_to/10+pf_Fu*2*((pf_bo/10-fa_g/10)/2-fa_dn/2)*pf_to/10),0.75*(MIN(0.6*pf_Fu*(2*(fa_Lep/10+(fa_n-1)*fa_s/10)-2*(fa_n-0.5)*fa_dn),0.6*pf_Fy*2*(fa_Lep/10+(fa_n-1)*fa_s/10))*pf_to/10+pf_Fu*(fa_g/10-fa_dn)*pf_to/10))+j_in*0.75*(MIN(0.6*pf_Fu*(2*(fa_Lep/10+(fa_n-1)*fa_s/10)-2*(fa_n-0.5)*fa_dn),0.6*pf_Fy*2*(fa_Lep/10+(fa_n-1)*fa_s/10))*pf_ti/10+pf_Fu*2*((b_bf-fa_g/10)/2-fa_dn/2)*pf_ti/10)</f>
        <v>157671.855</v>
      </c>
    </row>
    <row r="40" customFormat="false" ht="15" hidden="false" customHeight="false" outlineLevel="0" collapsed="false">
      <c r="A40" s="36" t="s">
        <v>220</v>
      </c>
      <c r="B40" s="36" t="s">
        <v>221</v>
      </c>
      <c r="C40" s="36" t="s">
        <v>76</v>
      </c>
      <c r="D40" s="39" t="n">
        <f aca="false">0.65*(k_gap+2*fa_Leb/10)/(IF(j_in=1,MIN(pf_to,pf_ti),pf_to)/10/SQRT(12))</f>
        <v>20.2649944485559</v>
      </c>
    </row>
    <row r="41" customFormat="false" ht="15" hidden="false" customHeight="false" outlineLevel="0" collapsed="false">
      <c r="A41" s="36" t="s">
        <v>222</v>
      </c>
      <c r="B41" s="36" t="s">
        <v>223</v>
      </c>
      <c r="C41" s="36" t="s">
        <v>47</v>
      </c>
      <c r="D41" s="38" t="n">
        <f aca="false">IF(p_KLr&lt;=25,pf_Fy,IF(pf_Fy/(PI()^2*k_E/p_KLr^2)&lt;=2.25,0.658^(pf_Fy/(PI()^2*k_E/p_KLr^2))*pf_Fy,0.877*PI()^2*k_E/p_KLr^2))</f>
        <v>3515</v>
      </c>
    </row>
    <row r="42" customFormat="false" ht="15" hidden="false" customHeight="false" outlineLevel="0" collapsed="false">
      <c r="A42" s="36" t="s">
        <v>224</v>
      </c>
      <c r="B42" s="36" t="s">
        <v>225</v>
      </c>
      <c r="C42" s="36" t="s">
        <v>197</v>
      </c>
      <c r="D42" s="38" t="n">
        <f aca="false">0.9*p_Fcr*p_Ag</f>
        <v>112620.6</v>
      </c>
    </row>
    <row r="43" customFormat="false" ht="15" hidden="false" customHeight="false" outlineLevel="0" collapsed="false">
      <c r="A43" s="36" t="s">
        <v>216</v>
      </c>
      <c r="B43" s="36" t="s">
        <v>226</v>
      </c>
      <c r="C43" s="36" t="s">
        <v>197</v>
      </c>
      <c r="D43" s="38" t="n">
        <f aca="false">0.75*(MIN(0.6*vg_Fu*(2*(fa_Leb/10+(fa_n-1)*fa_s/10)-2*(fa_n-0.5)*fa_dn),0.6*vg_Fy*2*(fa_Leb/10+(fa_n-1)*fa_s/10))*b_tf+vg_Fu*2*((b_bf-fa_g/10)/2-fa_dn/2)*b_tf)</f>
        <v>86002.83</v>
      </c>
    </row>
    <row r="44" customFormat="false" ht="15" hidden="false" customHeight="false" outlineLevel="0" collapsed="false">
      <c r="A44" s="36" t="s">
        <v>227</v>
      </c>
      <c r="B44" s="36" t="s">
        <v>228</v>
      </c>
      <c r="C44" s="36" t="s">
        <v>76</v>
      </c>
      <c r="D44" s="39" t="n">
        <f aca="false">IF(vg_Fy/vg_Fu&lt;=0.8,1,1.1)</f>
        <v>1</v>
      </c>
    </row>
    <row r="45" customFormat="false" ht="15" hidden="false" customHeight="false" outlineLevel="0" collapsed="false">
      <c r="A45" s="36" t="s">
        <v>229</v>
      </c>
      <c r="B45" s="36" t="s">
        <v>230</v>
      </c>
      <c r="C45" s="36" t="s">
        <v>186</v>
      </c>
      <c r="D45" s="40" t="n">
        <f aca="false">(b_bf-2*fa_dn)*b_tf</f>
        <v>16.266</v>
      </c>
    </row>
    <row r="46" customFormat="false" ht="15" hidden="false" customHeight="false" outlineLevel="0" collapsed="false">
      <c r="A46" s="36" t="s">
        <v>231</v>
      </c>
      <c r="B46" s="36" t="s">
        <v>232</v>
      </c>
      <c r="C46" s="36" t="s">
        <v>76</v>
      </c>
      <c r="D46" s="38" t="n">
        <f aca="false">IF(vg_Fu*b_Afn&lt;b_Yt*vg_Fy*b_bf*b_tf,1,0)</f>
        <v>1</v>
      </c>
    </row>
    <row r="47" customFormat="false" ht="15" hidden="false" customHeight="false" outlineLevel="0" collapsed="false">
      <c r="A47" s="36" t="s">
        <v>233</v>
      </c>
      <c r="B47" s="36" t="s">
        <v>234</v>
      </c>
      <c r="C47" s="36" t="s">
        <v>235</v>
      </c>
      <c r="D47" s="38" t="n">
        <f aca="false">0.9*vg_Fu*b_Afn/(b_bf*b_tf)*b_Sx</f>
        <v>2930341.8569312</v>
      </c>
    </row>
    <row r="48" customFormat="false" ht="15" hidden="false" customHeight="false" outlineLevel="0" collapsed="false">
      <c r="A48" s="35" t="s">
        <v>236</v>
      </c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</row>
    <row r="49" customFormat="false" ht="15" hidden="false" customHeight="false" outlineLevel="0" collapsed="false">
      <c r="A49" s="36" t="s">
        <v>181</v>
      </c>
      <c r="B49" s="36" t="s">
        <v>237</v>
      </c>
      <c r="C49" s="36" t="s">
        <v>183</v>
      </c>
      <c r="D49" s="37" t="n">
        <f aca="false">INDEX(CATALOGOS!$P$5:$P$10,MATCH(wa_diam,CATALOGOS!$O$5:$O$10,0))</f>
        <v>0.75</v>
      </c>
    </row>
    <row r="50" customFormat="false" ht="15" hidden="false" customHeight="false" outlineLevel="0" collapsed="false">
      <c r="A50" s="36" t="s">
        <v>181</v>
      </c>
      <c r="B50" s="36" t="s">
        <v>237</v>
      </c>
      <c r="C50" s="36" t="s">
        <v>91</v>
      </c>
      <c r="D50" s="37" t="n">
        <f aca="false">wa_dbi*2.54</f>
        <v>1.905</v>
      </c>
    </row>
    <row r="51" customFormat="false" ht="15" hidden="false" customHeight="false" outlineLevel="0" collapsed="false">
      <c r="A51" s="36" t="s">
        <v>184</v>
      </c>
      <c r="B51" s="36" t="s">
        <v>185</v>
      </c>
      <c r="C51" s="36" t="s">
        <v>186</v>
      </c>
      <c r="D51" s="37" t="n">
        <f aca="false">PI()*wa_db^2/4</f>
        <v>2.85022956992342</v>
      </c>
    </row>
    <row r="52" customFormat="false" ht="15" hidden="false" customHeight="false" outlineLevel="0" collapsed="false">
      <c r="A52" s="36" t="s">
        <v>187</v>
      </c>
      <c r="B52" s="36" t="s">
        <v>188</v>
      </c>
      <c r="C52" s="36" t="s">
        <v>91</v>
      </c>
      <c r="D52" s="37" t="n">
        <f aca="false">IF(wa_dbi&lt;1,wa_dbi+1/16,wa_dbi+1/8)*2.54</f>
        <v>2.06375</v>
      </c>
    </row>
    <row r="53" customFormat="false" ht="15" hidden="false" customHeight="false" outlineLevel="0" collapsed="false">
      <c r="A53" s="36" t="s">
        <v>189</v>
      </c>
      <c r="B53" s="36" t="s">
        <v>190</v>
      </c>
      <c r="C53" s="36" t="s">
        <v>91</v>
      </c>
      <c r="D53" s="37" t="n">
        <f aca="false">wa_dh+0.15875</f>
        <v>2.2225</v>
      </c>
    </row>
    <row r="54" customFormat="false" ht="15" hidden="false" customHeight="false" outlineLevel="0" collapsed="false">
      <c r="A54" s="36" t="s">
        <v>191</v>
      </c>
      <c r="B54" s="36" t="s">
        <v>192</v>
      </c>
      <c r="C54" s="36" t="s">
        <v>91</v>
      </c>
      <c r="D54" s="37" t="n">
        <f aca="false">INDEX(CATALOGOS!$Q$5:$Q$10,MATCH(wa_diam,CATALOGOS!$O$5:$O$10,0))*2.54</f>
        <v>2.54</v>
      </c>
    </row>
    <row r="55" customFormat="false" ht="15" hidden="false" customHeight="false" outlineLevel="0" collapsed="false">
      <c r="A55" s="36" t="s">
        <v>193</v>
      </c>
      <c r="B55" s="36" t="s">
        <v>194</v>
      </c>
      <c r="C55" s="36" t="s">
        <v>47</v>
      </c>
      <c r="D55" s="38" t="n">
        <f aca="false">INDEX(CATALOGOS!$L$5:$L$8,MATCH(wa_grado,CATALOGOS!$K$5:$K$8,0))</f>
        <v>3797</v>
      </c>
    </row>
    <row r="56" customFormat="false" ht="15" hidden="false" customHeight="false" outlineLevel="0" collapsed="false">
      <c r="A56" s="36" t="s">
        <v>195</v>
      </c>
      <c r="B56" s="36" t="s">
        <v>196</v>
      </c>
      <c r="C56" s="36" t="s">
        <v>197</v>
      </c>
      <c r="D56" s="38" t="n">
        <f aca="false">IF(INDEX(CATALOGOS!$M$5:$M$8,MATCH(wa_grado,CATALOGOS!$K$5:$K$8,0))="A",INDEX(CATALOGOS!$R$5:$R$10,MATCH(wa_diam,CATALOGOS!$O$5:$O$10,0)),INDEX(CATALOGOS!$S$5:$S$10,MATCH(wa_diam,CATALOGOS!$O$5:$O$10,0)))</f>
        <v>12701</v>
      </c>
    </row>
    <row r="57" customFormat="false" ht="15" hidden="false" customHeight="false" outlineLevel="0" collapsed="false">
      <c r="A57" s="36" t="s">
        <v>198</v>
      </c>
      <c r="B57" s="36" t="s">
        <v>238</v>
      </c>
      <c r="C57" s="36" t="s">
        <v>76</v>
      </c>
      <c r="D57" s="38" t="n">
        <f aca="false">wa_nr*wa_nc</f>
        <v>3</v>
      </c>
    </row>
    <row r="58" customFormat="false" ht="15" hidden="false" customHeight="false" outlineLevel="0" collapsed="false">
      <c r="A58" s="36" t="s">
        <v>239</v>
      </c>
      <c r="B58" s="36" t="s">
        <v>240</v>
      </c>
      <c r="C58" s="36" t="s">
        <v>91</v>
      </c>
      <c r="D58" s="40" t="n">
        <f aca="false">k_gap/2+wa_Leb/10+(wa_nc-1)*wa_sh/10/2</f>
        <v>4.5</v>
      </c>
    </row>
    <row r="59" customFormat="false" ht="15" hidden="false" customHeight="false" outlineLevel="0" collapsed="false">
      <c r="A59" s="36" t="s">
        <v>241</v>
      </c>
      <c r="B59" s="36" t="s">
        <v>242</v>
      </c>
      <c r="C59" s="36" t="s">
        <v>186</v>
      </c>
      <c r="D59" s="39" t="n">
        <f aca="false">wa_nr*(wa_sh/10)^2*wa_nc*(wa_nc^2-1)/12+wa_nc*(wa_sv/10)^2*wa_nr*(wa_nr^2-1)/12</f>
        <v>112.5</v>
      </c>
    </row>
    <row r="60" customFormat="false" ht="15" hidden="false" customHeight="false" outlineLevel="0" collapsed="false">
      <c r="A60" s="36" t="s">
        <v>243</v>
      </c>
      <c r="B60" s="36" t="s">
        <v>244</v>
      </c>
      <c r="C60" s="36" t="s">
        <v>91</v>
      </c>
      <c r="D60" s="37" t="n">
        <f aca="false">wa_sh/10*(wa_nc-1)/2</f>
        <v>0</v>
      </c>
    </row>
    <row r="61" customFormat="false" ht="15" hidden="false" customHeight="false" outlineLevel="0" collapsed="false">
      <c r="A61" s="36" t="s">
        <v>245</v>
      </c>
      <c r="B61" s="36" t="s">
        <v>246</v>
      </c>
      <c r="C61" s="36" t="s">
        <v>91</v>
      </c>
      <c r="D61" s="37" t="n">
        <f aca="false">wa_sv/10*(wa_nr-1)/2</f>
        <v>7.5</v>
      </c>
    </row>
    <row r="62" customFormat="false" ht="15" hidden="false" customHeight="false" outlineLevel="0" collapsed="false">
      <c r="A62" s="36" t="s">
        <v>202</v>
      </c>
      <c r="B62" s="36" t="s">
        <v>247</v>
      </c>
      <c r="C62" s="36" t="s">
        <v>197</v>
      </c>
      <c r="D62" s="38" t="n">
        <f aca="false">IF(j_sc=1,1*j_mu*1.13*wa_Tb*2,0.75*wa_Fnv*wa_Ab*2)</f>
        <v>16233.4825154989</v>
      </c>
    </row>
    <row r="63" customFormat="false" ht="15" hidden="false" customHeight="false" outlineLevel="0" collapsed="false">
      <c r="A63" s="36" t="s">
        <v>204</v>
      </c>
      <c r="B63" s="36" t="s">
        <v>248</v>
      </c>
      <c r="C63" s="36" t="s">
        <v>197</v>
      </c>
      <c r="D63" s="38" t="n">
        <f aca="false">0.75*wa_Fnv*wa_Ab*2</f>
        <v>16233.4825154989</v>
      </c>
    </row>
    <row r="64" customFormat="false" ht="15" hidden="false" customHeight="false" outlineLevel="0" collapsed="false">
      <c r="A64" s="36" t="s">
        <v>249</v>
      </c>
      <c r="B64" s="36" t="s">
        <v>250</v>
      </c>
      <c r="C64" s="36" t="s">
        <v>91</v>
      </c>
      <c r="D64" s="37" t="n">
        <f aca="false">MIN(wa_Leb/10-wa_dh/2,wa_sv/10-wa_dh,IF(wa_nc&gt;1,wa_sh/10-wa_dh,1000))</f>
        <v>2.968125</v>
      </c>
    </row>
    <row r="65" customFormat="false" ht="15" hidden="false" customHeight="false" outlineLevel="0" collapsed="false">
      <c r="A65" s="36" t="s">
        <v>208</v>
      </c>
      <c r="B65" s="36" t="s">
        <v>251</v>
      </c>
      <c r="C65" s="36" t="s">
        <v>91</v>
      </c>
      <c r="D65" s="37" t="n">
        <f aca="false">MIN(wa_Lep/10-wa_dh/2,(pw_h/10-(wa_nr-1)*wa_sv/10)/2-wa_dh/2,wa_sv/10-wa_dh,IF(wa_nc&gt;1,wa_sh/10-wa_dh,1000))</f>
        <v>2.968125</v>
      </c>
    </row>
    <row r="66" customFormat="false" ht="15" hidden="false" customHeight="false" outlineLevel="0" collapsed="false">
      <c r="A66" s="36" t="s">
        <v>202</v>
      </c>
      <c r="B66" s="36" t="s">
        <v>252</v>
      </c>
      <c r="C66" s="36" t="s">
        <v>197</v>
      </c>
      <c r="D66" s="38" t="n">
        <f aca="false">0.75*MIN(1.2*w_Lcw,2.4*wa_db)*b_tw*vg_Fu</f>
        <v>7324.738875</v>
      </c>
    </row>
    <row r="67" customFormat="false" ht="15" hidden="false" customHeight="false" outlineLevel="0" collapsed="false">
      <c r="A67" s="36" t="s">
        <v>202</v>
      </c>
      <c r="B67" s="36" t="s">
        <v>253</v>
      </c>
      <c r="C67" s="36" t="s">
        <v>197</v>
      </c>
      <c r="D67" s="38" t="n">
        <f aca="false">0.75*MIN(1.2*w_Lcp,2.4*wa_db)*2*pw_t/10*pw_Fu</f>
        <v>17438.328</v>
      </c>
    </row>
    <row r="68" customFormat="false" ht="15" hidden="false" customHeight="false" outlineLevel="0" collapsed="false">
      <c r="A68" s="36" t="s">
        <v>254</v>
      </c>
      <c r="B68" s="36" t="s">
        <v>255</v>
      </c>
      <c r="C68" s="36" t="s">
        <v>197</v>
      </c>
      <c r="D68" s="38" t="n">
        <f aca="false">0.6*pw_Fy*2*pw_h/10*pw_t/10</f>
        <v>68006.4</v>
      </c>
    </row>
    <row r="69" customFormat="false" ht="15" hidden="false" customHeight="false" outlineLevel="0" collapsed="false">
      <c r="A69" s="36" t="s">
        <v>254</v>
      </c>
      <c r="B69" s="36" t="s">
        <v>256</v>
      </c>
      <c r="C69" s="36" t="s">
        <v>197</v>
      </c>
      <c r="D69" s="38" t="n">
        <f aca="false">0.75*0.6*pw_Fu*2*(pw_h/10-wa_nr*wa_dn)*pw_t/10</f>
        <v>62666.352</v>
      </c>
    </row>
    <row r="70" customFormat="false" ht="15" hidden="false" customHeight="false" outlineLevel="0" collapsed="false">
      <c r="A70" s="36" t="s">
        <v>233</v>
      </c>
      <c r="B70" s="36" t="s">
        <v>257</v>
      </c>
      <c r="C70" s="36" t="s">
        <v>235</v>
      </c>
      <c r="D70" s="38" t="n">
        <f aca="false">0.9*pw_Fy*2*pw_t/10*(pw_h/10)^2/4</f>
        <v>714067.2</v>
      </c>
    </row>
    <row r="71" customFormat="false" ht="15" hidden="false" customHeight="false" outlineLevel="0" collapsed="false">
      <c r="A71" s="36" t="s">
        <v>216</v>
      </c>
      <c r="B71" s="36" t="s">
        <v>258</v>
      </c>
      <c r="C71" s="36" t="s">
        <v>197</v>
      </c>
      <c r="D71" s="38" t="n">
        <f aca="false">2*0.75*(MIN(0.6*pw_Fu*(((pw_h/10-(wa_nr-1)*wa_sv/10)/2+(wa_nr-1)*wa_sv/10)-(wa_nr-0.5)*wa_dn),0.6*pw_Fy*((pw_h/10-(wa_nr-1)*wa_sv/10)/2+(wa_nr-1)*wa_sv/10))*pw_t/10+pw_Fu*(wa_Lep/10+(wa_nc-1)*wa_sh/10-(wa_nc-0.5)*wa_dn)*pw_t/10)</f>
        <v>53307.72</v>
      </c>
    </row>
    <row r="72" customFormat="false" ht="15" hidden="false" customHeight="false" outlineLevel="0" collapsed="false">
      <c r="A72" s="36" t="s">
        <v>254</v>
      </c>
      <c r="B72" s="36" t="s">
        <v>259</v>
      </c>
      <c r="C72" s="36" t="s">
        <v>197</v>
      </c>
      <c r="D72" s="38" t="n">
        <f aca="false">0.75*0.6*vg_Fu*b_tw*(b_d-wa_nr*wa_dn)</f>
        <v>41128.97175</v>
      </c>
    </row>
    <row r="74" customFormat="false" ht="15" hidden="false" customHeight="false" outlineLevel="0" collapsed="false">
      <c r="A74" s="35" t="s">
        <v>260</v>
      </c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</row>
    <row r="75" customFormat="false" ht="15" hidden="false" customHeight="false" outlineLevel="0" collapsed="false">
      <c r="A75" s="41" t="s">
        <v>261</v>
      </c>
      <c r="B75" s="41" t="s">
        <v>262</v>
      </c>
      <c r="C75" s="41" t="s">
        <v>20</v>
      </c>
      <c r="D75" s="41" t="n">
        <v>1</v>
      </c>
      <c r="E75" s="41" t="n">
        <v>2</v>
      </c>
      <c r="F75" s="41" t="n">
        <v>3</v>
      </c>
      <c r="G75" s="41" t="n">
        <v>4</v>
      </c>
      <c r="H75" s="41" t="n">
        <v>5</v>
      </c>
      <c r="I75" s="41" t="n">
        <v>6</v>
      </c>
      <c r="J75" s="41" t="n">
        <v>7</v>
      </c>
      <c r="K75" s="41" t="n">
        <v>8</v>
      </c>
      <c r="L75" s="41" t="n">
        <v>9</v>
      </c>
      <c r="M75" s="41" t="n">
        <v>10</v>
      </c>
    </row>
    <row r="76" customFormat="false" ht="15" hidden="false" customHeight="false" outlineLevel="0" collapsed="false">
      <c r="A76" s="36" t="s">
        <v>23</v>
      </c>
      <c r="B76" s="36" t="s">
        <v>263</v>
      </c>
      <c r="C76" s="36"/>
      <c r="D76" s="42" t="str">
        <f aca="false">IF(INDEX(cb_nom,1)="","",INDEX(cb_nom,1))</f>
        <v>1.2D+1.6L</v>
      </c>
      <c r="E76" s="42" t="str">
        <f aca="false">IF(INDEX(cb_nom,2)="","",INDEX(cb_nom,2))</f>
        <v>1.2D+1.0E+L</v>
      </c>
      <c r="F76" s="42" t="str">
        <f aca="false">IF(INDEX(cb_nom,3)="","",INDEX(cb_nom,3))</f>
        <v>0.9D+1.0E</v>
      </c>
      <c r="G76" s="42" t="str">
        <f aca="false">IF(INDEX(cb_nom,4)="","",INDEX(cb_nom,4))</f>
        <v>C4</v>
      </c>
      <c r="H76" s="42" t="str">
        <f aca="false">IF(INDEX(cb_nom,5)="","",INDEX(cb_nom,5))</f>
        <v>C5</v>
      </c>
      <c r="I76" s="42" t="str">
        <f aca="false">IF(INDEX(cb_nom,6)="","",INDEX(cb_nom,6))</f>
        <v>C6</v>
      </c>
      <c r="J76" s="42" t="str">
        <f aca="false">IF(INDEX(cb_nom,7)="","",INDEX(cb_nom,7))</f>
        <v>C7</v>
      </c>
      <c r="K76" s="42" t="str">
        <f aca="false">IF(INDEX(cb_nom,8)="","",INDEX(cb_nom,8))</f>
        <v>C8</v>
      </c>
      <c r="L76" s="42" t="str">
        <f aca="false">IF(INDEX(cb_nom,9)="","",INDEX(cb_nom,9))</f>
        <v>C9</v>
      </c>
      <c r="M76" s="42" t="str">
        <f aca="false">IF(INDEX(cb_nom,10)="","",INDEX(cb_nom,10))</f>
        <v>C10</v>
      </c>
    </row>
    <row r="77" customFormat="false" ht="15" hidden="false" customHeight="false" outlineLevel="0" collapsed="false">
      <c r="A77" s="36" t="s">
        <v>264</v>
      </c>
      <c r="B77" s="36" t="s">
        <v>265</v>
      </c>
      <c r="C77" s="36" t="s">
        <v>235</v>
      </c>
      <c r="D77" s="43" t="n">
        <f aca="false">ABS(N(INDEX(cb_M,1)))*100000</f>
        <v>900000</v>
      </c>
      <c r="E77" s="43" t="n">
        <f aca="false">ABS(N(INDEX(cb_M,2)))*100000</f>
        <v>1100000</v>
      </c>
      <c r="F77" s="43" t="n">
        <f aca="false">ABS(N(INDEX(cb_M,3)))*100000</f>
        <v>750000</v>
      </c>
      <c r="G77" s="43" t="n">
        <f aca="false">ABS(N(INDEX(cb_M,4)))*100000</f>
        <v>0</v>
      </c>
      <c r="H77" s="43" t="n">
        <f aca="false">ABS(N(INDEX(cb_M,5)))*100000</f>
        <v>0</v>
      </c>
      <c r="I77" s="43" t="n">
        <f aca="false">ABS(N(INDEX(cb_M,6)))*100000</f>
        <v>0</v>
      </c>
      <c r="J77" s="43" t="n">
        <f aca="false">ABS(N(INDEX(cb_M,7)))*100000</f>
        <v>0</v>
      </c>
      <c r="K77" s="43" t="n">
        <f aca="false">ABS(N(INDEX(cb_M,8)))*100000</f>
        <v>0</v>
      </c>
      <c r="L77" s="43" t="n">
        <f aca="false">ABS(N(INDEX(cb_M,9)))*100000</f>
        <v>0</v>
      </c>
      <c r="M77" s="43" t="n">
        <f aca="false">ABS(N(INDEX(cb_M,10)))*100000</f>
        <v>0</v>
      </c>
    </row>
    <row r="78" customFormat="false" ht="15" hidden="false" customHeight="false" outlineLevel="0" collapsed="false">
      <c r="A78" s="36" t="s">
        <v>266</v>
      </c>
      <c r="B78" s="36" t="s">
        <v>267</v>
      </c>
      <c r="C78" s="36" t="s">
        <v>197</v>
      </c>
      <c r="D78" s="43" t="n">
        <f aca="false">ABS(N(INDEX(cb_V,1)))*1000</f>
        <v>5500</v>
      </c>
      <c r="E78" s="43" t="n">
        <f aca="false">ABS(N(INDEX(cb_V,2)))*1000</f>
        <v>4500</v>
      </c>
      <c r="F78" s="43" t="n">
        <f aca="false">ABS(N(INDEX(cb_V,3)))*1000</f>
        <v>3000</v>
      </c>
      <c r="G78" s="43" t="n">
        <f aca="false">ABS(N(INDEX(cb_V,4)))*1000</f>
        <v>0</v>
      </c>
      <c r="H78" s="43" t="n">
        <f aca="false">ABS(N(INDEX(cb_V,5)))*1000</f>
        <v>0</v>
      </c>
      <c r="I78" s="43" t="n">
        <f aca="false">ABS(N(INDEX(cb_V,6)))*1000</f>
        <v>0</v>
      </c>
      <c r="J78" s="43" t="n">
        <f aca="false">ABS(N(INDEX(cb_V,7)))*1000</f>
        <v>0</v>
      </c>
      <c r="K78" s="43" t="n">
        <f aca="false">ABS(N(INDEX(cb_V,8)))*1000</f>
        <v>0</v>
      </c>
      <c r="L78" s="43" t="n">
        <f aca="false">ABS(N(INDEX(cb_V,9)))*1000</f>
        <v>0</v>
      </c>
      <c r="M78" s="43" t="n">
        <f aca="false">ABS(N(INDEX(cb_V,10)))*1000</f>
        <v>0</v>
      </c>
    </row>
    <row r="79" customFormat="false" ht="15" hidden="false" customHeight="false" outlineLevel="0" collapsed="false">
      <c r="A79" s="36" t="s">
        <v>268</v>
      </c>
      <c r="B79" s="36" t="s">
        <v>269</v>
      </c>
      <c r="C79" s="36" t="s">
        <v>76</v>
      </c>
      <c r="D79" s="43" t="n">
        <f aca="false">IF(D77+D78&gt;0,1,0)</f>
        <v>1</v>
      </c>
      <c r="E79" s="43" t="n">
        <f aca="false">IF(E77+E78&gt;0,1,0)</f>
        <v>1</v>
      </c>
      <c r="F79" s="43" t="n">
        <f aca="false">IF(F77+F78&gt;0,1,0)</f>
        <v>1</v>
      </c>
      <c r="G79" s="43" t="n">
        <f aca="false">IF(G77+G78&gt;0,1,0)</f>
        <v>0</v>
      </c>
      <c r="H79" s="43" t="n">
        <f aca="false">IF(H77+H78&gt;0,1,0)</f>
        <v>0</v>
      </c>
      <c r="I79" s="43" t="n">
        <f aca="false">IF(I77+I78&gt;0,1,0)</f>
        <v>0</v>
      </c>
      <c r="J79" s="43" t="n">
        <f aca="false">IF(J77+J78&gt;0,1,0)</f>
        <v>0</v>
      </c>
      <c r="K79" s="43" t="n">
        <f aca="false">IF(K77+K78&gt;0,1,0)</f>
        <v>0</v>
      </c>
      <c r="L79" s="43" t="n">
        <f aca="false">IF(L77+L78&gt;0,1,0)</f>
        <v>0</v>
      </c>
      <c r="M79" s="43" t="n">
        <f aca="false">IF(M77+M78&gt;0,1,0)</f>
        <v>0</v>
      </c>
    </row>
    <row r="80" customFormat="false" ht="15" hidden="false" customHeight="false" outlineLevel="0" collapsed="false">
      <c r="A80" s="36" t="s">
        <v>270</v>
      </c>
      <c r="B80" s="36" t="s">
        <v>271</v>
      </c>
      <c r="C80" s="36" t="s">
        <v>235</v>
      </c>
      <c r="D80" s="43" t="n">
        <f aca="false">IF(LEFT(dist_M,2)="Sí",D77*b_Iw/b_Ix,0)</f>
        <v>0</v>
      </c>
      <c r="E80" s="43" t="n">
        <f aca="false">IF(LEFT(dist_M,2)="Sí",E77*b_Iw/b_Ix,0)</f>
        <v>0</v>
      </c>
      <c r="F80" s="43" t="n">
        <f aca="false">IF(LEFT(dist_M,2)="Sí",F77*b_Iw/b_Ix,0)</f>
        <v>0</v>
      </c>
      <c r="G80" s="43" t="n">
        <f aca="false">IF(LEFT(dist_M,2)="Sí",G77*b_Iw/b_Ix,0)</f>
        <v>0</v>
      </c>
      <c r="H80" s="43" t="n">
        <f aca="false">IF(LEFT(dist_M,2)="Sí",H77*b_Iw/b_Ix,0)</f>
        <v>0</v>
      </c>
      <c r="I80" s="43" t="n">
        <f aca="false">IF(LEFT(dist_M,2)="Sí",I77*b_Iw/b_Ix,0)</f>
        <v>0</v>
      </c>
      <c r="J80" s="43" t="n">
        <f aca="false">IF(LEFT(dist_M,2)="Sí",J77*b_Iw/b_Ix,0)</f>
        <v>0</v>
      </c>
      <c r="K80" s="43" t="n">
        <f aca="false">IF(LEFT(dist_M,2)="Sí",K77*b_Iw/b_Ix,0)</f>
        <v>0</v>
      </c>
      <c r="L80" s="43" t="n">
        <f aca="false">IF(LEFT(dist_M,2)="Sí",L77*b_Iw/b_Ix,0)</f>
        <v>0</v>
      </c>
      <c r="M80" s="43" t="n">
        <f aca="false">IF(LEFT(dist_M,2)="Sí",M77*b_Iw/b_Ix,0)</f>
        <v>0</v>
      </c>
    </row>
    <row r="81" customFormat="false" ht="15" hidden="false" customHeight="false" outlineLevel="0" collapsed="false">
      <c r="A81" s="36" t="s">
        <v>272</v>
      </c>
      <c r="B81" s="36" t="s">
        <v>273</v>
      </c>
      <c r="C81" s="36" t="s">
        <v>197</v>
      </c>
      <c r="D81" s="43" t="n">
        <f aca="false">(D77-D80)/(b_d-b_tf)</f>
        <v>23195.8762886598</v>
      </c>
      <c r="E81" s="43" t="n">
        <f aca="false">(E77-E80)/(b_d-b_tf)</f>
        <v>28350.5154639175</v>
      </c>
      <c r="F81" s="43" t="n">
        <f aca="false">(F77-F80)/(b_d-b_tf)</f>
        <v>19329.8969072165</v>
      </c>
      <c r="G81" s="43" t="n">
        <f aca="false">(G77-G80)/(b_d-b_tf)</f>
        <v>0</v>
      </c>
      <c r="H81" s="43" t="n">
        <f aca="false">(H77-H80)/(b_d-b_tf)</f>
        <v>0</v>
      </c>
      <c r="I81" s="43" t="n">
        <f aca="false">(I77-I80)/(b_d-b_tf)</f>
        <v>0</v>
      </c>
      <c r="J81" s="43" t="n">
        <f aca="false">(J77-J80)/(b_d-b_tf)</f>
        <v>0</v>
      </c>
      <c r="K81" s="43" t="n">
        <f aca="false">(K77-K80)/(b_d-b_tf)</f>
        <v>0</v>
      </c>
      <c r="L81" s="43" t="n">
        <f aca="false">(L77-L80)/(b_d-b_tf)</f>
        <v>0</v>
      </c>
      <c r="M81" s="43" t="n">
        <f aca="false">(M77-M80)/(b_d-b_tf)</f>
        <v>0</v>
      </c>
    </row>
    <row r="82" customFormat="false" ht="15" hidden="false" customHeight="false" outlineLevel="0" collapsed="false">
      <c r="A82" s="36" t="s">
        <v>274</v>
      </c>
      <c r="B82" s="36" t="s">
        <v>275</v>
      </c>
      <c r="C82" s="36" t="s">
        <v>76</v>
      </c>
      <c r="D82" s="44" t="n">
        <f aca="false">MAX(D81/(f_nb*f_rv),D81/(f_nb*f_rvs))</f>
        <v>0.238148492028883</v>
      </c>
      <c r="E82" s="44" t="n">
        <f aca="false">MAX(E81/(f_nb*f_rv),E81/(f_nb*f_rvs))</f>
        <v>0.291070379146413</v>
      </c>
      <c r="F82" s="44" t="n">
        <f aca="false">MAX(F81/(f_nb*f_rv),F81/(f_nb*f_rvs))</f>
        <v>0.198457076690736</v>
      </c>
      <c r="G82" s="44" t="n">
        <f aca="false">MAX(G81/(f_nb*f_rv),G81/(f_nb*f_rvs))</f>
        <v>0</v>
      </c>
      <c r="H82" s="44" t="n">
        <f aca="false">MAX(H81/(f_nb*f_rv),H81/(f_nb*f_rvs))</f>
        <v>0</v>
      </c>
      <c r="I82" s="44" t="n">
        <f aca="false">MAX(I81/(f_nb*f_rv),I81/(f_nb*f_rvs))</f>
        <v>0</v>
      </c>
      <c r="J82" s="44" t="n">
        <f aca="false">MAX(J81/(f_nb*f_rv),J81/(f_nb*f_rvs))</f>
        <v>0</v>
      </c>
      <c r="K82" s="44" t="n">
        <f aca="false">MAX(K81/(f_nb*f_rv),K81/(f_nb*f_rvs))</f>
        <v>0</v>
      </c>
      <c r="L82" s="44" t="n">
        <f aca="false">MAX(L81/(f_nb*f_rv),L81/(f_nb*f_rvs))</f>
        <v>0</v>
      </c>
      <c r="M82" s="44" t="n">
        <f aca="false">MAX(M81/(f_nb*f_rv),M81/(f_nb*f_rvs))</f>
        <v>0</v>
      </c>
    </row>
    <row r="83" customFormat="false" ht="15" hidden="false" customHeight="false" outlineLevel="0" collapsed="false">
      <c r="A83" s="36" t="s">
        <v>274</v>
      </c>
      <c r="B83" s="36" t="s">
        <v>276</v>
      </c>
      <c r="C83" s="36" t="s">
        <v>76</v>
      </c>
      <c r="D83" s="44" t="n">
        <f aca="false">D81/(f_nb*MIN(f_rbb,f_rbp))</f>
        <v>0.263898785159307</v>
      </c>
      <c r="E83" s="44" t="n">
        <f aca="false">E81/(f_nb*MIN(f_rbb,f_rbp))</f>
        <v>0.322542959639153</v>
      </c>
      <c r="F83" s="44" t="n">
        <f aca="false">F81/(f_nb*MIN(f_rbb,f_rbp))</f>
        <v>0.219915654299423</v>
      </c>
      <c r="G83" s="44" t="n">
        <f aca="false">G81/(f_nb*MIN(f_rbb,f_rbp))</f>
        <v>0</v>
      </c>
      <c r="H83" s="44" t="n">
        <f aca="false">H81/(f_nb*MIN(f_rbb,f_rbp))</f>
        <v>0</v>
      </c>
      <c r="I83" s="44" t="n">
        <f aca="false">I81/(f_nb*MIN(f_rbb,f_rbp))</f>
        <v>0</v>
      </c>
      <c r="J83" s="44" t="n">
        <f aca="false">J81/(f_nb*MIN(f_rbb,f_rbp))</f>
        <v>0</v>
      </c>
      <c r="K83" s="44" t="n">
        <f aca="false">K81/(f_nb*MIN(f_rbb,f_rbp))</f>
        <v>0</v>
      </c>
      <c r="L83" s="44" t="n">
        <f aca="false">L81/(f_nb*MIN(f_rbb,f_rbp))</f>
        <v>0</v>
      </c>
      <c r="M83" s="44" t="n">
        <f aca="false">M81/(f_nb*MIN(f_rbb,f_rbp))</f>
        <v>0</v>
      </c>
    </row>
    <row r="84" customFormat="false" ht="15" hidden="false" customHeight="false" outlineLevel="0" collapsed="false">
      <c r="A84" s="36" t="s">
        <v>274</v>
      </c>
      <c r="B84" s="36" t="s">
        <v>277</v>
      </c>
      <c r="C84" s="36" t="s">
        <v>76</v>
      </c>
      <c r="D84" s="44" t="n">
        <f aca="false">D81/p_ty</f>
        <v>0.205964772773896</v>
      </c>
      <c r="E84" s="44" t="n">
        <f aca="false">E81/p_ty</f>
        <v>0.251734722279206</v>
      </c>
      <c r="F84" s="44" t="n">
        <f aca="false">F81/p_ty</f>
        <v>0.171637310644913</v>
      </c>
      <c r="G84" s="44" t="n">
        <f aca="false">G81/p_ty</f>
        <v>0</v>
      </c>
      <c r="H84" s="44" t="n">
        <f aca="false">H81/p_ty</f>
        <v>0</v>
      </c>
      <c r="I84" s="44" t="n">
        <f aca="false">I81/p_ty</f>
        <v>0</v>
      </c>
      <c r="J84" s="44" t="n">
        <f aca="false">J81/p_ty</f>
        <v>0</v>
      </c>
      <c r="K84" s="44" t="n">
        <f aca="false">K81/p_ty</f>
        <v>0</v>
      </c>
      <c r="L84" s="44" t="n">
        <f aca="false">L81/p_ty</f>
        <v>0</v>
      </c>
      <c r="M84" s="44" t="n">
        <f aca="false">M81/p_ty</f>
        <v>0</v>
      </c>
    </row>
    <row r="85" customFormat="false" ht="15" hidden="false" customHeight="false" outlineLevel="0" collapsed="false">
      <c r="A85" s="36" t="s">
        <v>274</v>
      </c>
      <c r="B85" s="36" t="s">
        <v>278</v>
      </c>
      <c r="C85" s="36" t="s">
        <v>76</v>
      </c>
      <c r="D85" s="44" t="n">
        <f aca="false">D81/p_tr</f>
        <v>0.262095921377807</v>
      </c>
      <c r="E85" s="44" t="n">
        <f aca="false">E81/p_tr</f>
        <v>0.320339459461765</v>
      </c>
      <c r="F85" s="44" t="n">
        <f aca="false">F81/p_tr</f>
        <v>0.21841326781484</v>
      </c>
      <c r="G85" s="44" t="n">
        <f aca="false">G81/p_tr</f>
        <v>0</v>
      </c>
      <c r="H85" s="44" t="n">
        <f aca="false">H81/p_tr</f>
        <v>0</v>
      </c>
      <c r="I85" s="44" t="n">
        <f aca="false">I81/p_tr</f>
        <v>0</v>
      </c>
      <c r="J85" s="44" t="n">
        <f aca="false">J81/p_tr</f>
        <v>0</v>
      </c>
      <c r="K85" s="44" t="n">
        <f aca="false">K81/p_tr</f>
        <v>0</v>
      </c>
      <c r="L85" s="44" t="n">
        <f aca="false">L81/p_tr</f>
        <v>0</v>
      </c>
      <c r="M85" s="44" t="n">
        <f aca="false">M81/p_tr</f>
        <v>0</v>
      </c>
    </row>
    <row r="86" customFormat="false" ht="15" hidden="false" customHeight="false" outlineLevel="0" collapsed="false">
      <c r="A86" s="36" t="s">
        <v>274</v>
      </c>
      <c r="B86" s="36" t="s">
        <v>279</v>
      </c>
      <c r="C86" s="36" t="s">
        <v>76</v>
      </c>
      <c r="D86" s="44" t="n">
        <f aca="false">D81/p_bs</f>
        <v>0.147114881655066</v>
      </c>
      <c r="E86" s="44" t="n">
        <f aca="false">E81/p_bs</f>
        <v>0.179807077578415</v>
      </c>
      <c r="F86" s="44" t="n">
        <f aca="false">F81/p_bs</f>
        <v>0.122595734712555</v>
      </c>
      <c r="G86" s="44" t="n">
        <f aca="false">G81/p_bs</f>
        <v>0</v>
      </c>
      <c r="H86" s="44" t="n">
        <f aca="false">H81/p_bs</f>
        <v>0</v>
      </c>
      <c r="I86" s="44" t="n">
        <f aca="false">I81/p_bs</f>
        <v>0</v>
      </c>
      <c r="J86" s="44" t="n">
        <f aca="false">J81/p_bs</f>
        <v>0</v>
      </c>
      <c r="K86" s="44" t="n">
        <f aca="false">K81/p_bs</f>
        <v>0</v>
      </c>
      <c r="L86" s="44" t="n">
        <f aca="false">L81/p_bs</f>
        <v>0</v>
      </c>
      <c r="M86" s="44" t="n">
        <f aca="false">M81/p_bs</f>
        <v>0</v>
      </c>
    </row>
    <row r="87" customFormat="false" ht="15" hidden="false" customHeight="false" outlineLevel="0" collapsed="false">
      <c r="A87" s="36" t="s">
        <v>274</v>
      </c>
      <c r="B87" s="36" t="s">
        <v>280</v>
      </c>
      <c r="C87" s="36" t="s">
        <v>76</v>
      </c>
      <c r="D87" s="44" t="n">
        <f aca="false">D81/p_cb</f>
        <v>0.205964772773896</v>
      </c>
      <c r="E87" s="44" t="n">
        <f aca="false">E81/p_cb</f>
        <v>0.251734722279206</v>
      </c>
      <c r="F87" s="44" t="n">
        <f aca="false">F81/p_cb</f>
        <v>0.171637310644913</v>
      </c>
      <c r="G87" s="44" t="n">
        <f aca="false">G81/p_cb</f>
        <v>0</v>
      </c>
      <c r="H87" s="44" t="n">
        <f aca="false">H81/p_cb</f>
        <v>0</v>
      </c>
      <c r="I87" s="44" t="n">
        <f aca="false">I81/p_cb</f>
        <v>0</v>
      </c>
      <c r="J87" s="44" t="n">
        <f aca="false">J81/p_cb</f>
        <v>0</v>
      </c>
      <c r="K87" s="44" t="n">
        <f aca="false">K81/p_cb</f>
        <v>0</v>
      </c>
      <c r="L87" s="44" t="n">
        <f aca="false">L81/p_cb</f>
        <v>0</v>
      </c>
      <c r="M87" s="44" t="n">
        <f aca="false">M81/p_cb</f>
        <v>0</v>
      </c>
    </row>
    <row r="88" customFormat="false" ht="15" hidden="false" customHeight="false" outlineLevel="0" collapsed="false">
      <c r="A88" s="36" t="s">
        <v>274</v>
      </c>
      <c r="B88" s="36" t="s">
        <v>281</v>
      </c>
      <c r="C88" s="36" t="s">
        <v>76</v>
      </c>
      <c r="D88" s="44" t="n">
        <f aca="false">D81/b_bs</f>
        <v>0.269710616367622</v>
      </c>
      <c r="E88" s="44" t="n">
        <f aca="false">E81/b_bs</f>
        <v>0.32964630889376</v>
      </c>
      <c r="F88" s="44" t="n">
        <f aca="false">F81/b_bs</f>
        <v>0.224758846973018</v>
      </c>
      <c r="G88" s="44" t="n">
        <f aca="false">G81/b_bs</f>
        <v>0</v>
      </c>
      <c r="H88" s="44" t="n">
        <f aca="false">H81/b_bs</f>
        <v>0</v>
      </c>
      <c r="I88" s="44" t="n">
        <f aca="false">I81/b_bs</f>
        <v>0</v>
      </c>
      <c r="J88" s="44" t="n">
        <f aca="false">J81/b_bs</f>
        <v>0</v>
      </c>
      <c r="K88" s="44" t="n">
        <f aca="false">K81/b_bs</f>
        <v>0</v>
      </c>
      <c r="L88" s="44" t="n">
        <f aca="false">L81/b_bs</f>
        <v>0</v>
      </c>
      <c r="M88" s="44" t="n">
        <f aca="false">M81/b_bs</f>
        <v>0</v>
      </c>
    </row>
    <row r="89" customFormat="false" ht="15" hidden="false" customHeight="false" outlineLevel="0" collapsed="false">
      <c r="A89" s="36" t="s">
        <v>274</v>
      </c>
      <c r="B89" s="36" t="s">
        <v>282</v>
      </c>
      <c r="C89" s="36" t="s">
        <v>76</v>
      </c>
      <c r="D89" s="44" t="n">
        <f aca="false">IF(b_F13=1,D77/b_MnF,0)</f>
        <v>0.307131401024495</v>
      </c>
      <c r="E89" s="44" t="n">
        <f aca="false">IF(b_F13=1,E77/b_MnF,0)</f>
        <v>0.375382823474383</v>
      </c>
      <c r="F89" s="44" t="n">
        <f aca="false">IF(b_F13=1,F77/b_MnF,0)</f>
        <v>0.255942834187079</v>
      </c>
      <c r="G89" s="44" t="n">
        <f aca="false">IF(b_F13=1,G77/b_MnF,0)</f>
        <v>0</v>
      </c>
      <c r="H89" s="44" t="n">
        <f aca="false">IF(b_F13=1,H77/b_MnF,0)</f>
        <v>0</v>
      </c>
      <c r="I89" s="44" t="n">
        <f aca="false">IF(b_F13=1,I77/b_MnF,0)</f>
        <v>0</v>
      </c>
      <c r="J89" s="44" t="n">
        <f aca="false">IF(b_F13=1,J77/b_MnF,0)</f>
        <v>0</v>
      </c>
      <c r="K89" s="44" t="n">
        <f aca="false">IF(b_F13=1,K77/b_MnF,0)</f>
        <v>0</v>
      </c>
      <c r="L89" s="44" t="n">
        <f aca="false">IF(b_F13=1,L77/b_MnF,0)</f>
        <v>0</v>
      </c>
      <c r="M89" s="44" t="n">
        <f aca="false">IF(b_F13=1,M77/b_MnF,0)</f>
        <v>0</v>
      </c>
    </row>
    <row r="90" customFormat="false" ht="15" hidden="false" customHeight="false" outlineLevel="0" collapsed="false">
      <c r="A90" s="36" t="s">
        <v>283</v>
      </c>
      <c r="B90" s="36" t="s">
        <v>284</v>
      </c>
      <c r="C90" s="36" t="s">
        <v>235</v>
      </c>
      <c r="D90" s="43" t="n">
        <f aca="false">D78*w_e+D80</f>
        <v>24750</v>
      </c>
      <c r="E90" s="43" t="n">
        <f aca="false">E78*w_e+E80</f>
        <v>20250</v>
      </c>
      <c r="F90" s="43" t="n">
        <f aca="false">F78*w_e+F80</f>
        <v>13500</v>
      </c>
      <c r="G90" s="43" t="n">
        <f aca="false">G78*w_e+G80</f>
        <v>0</v>
      </c>
      <c r="H90" s="43" t="n">
        <f aca="false">H78*w_e+H80</f>
        <v>0</v>
      </c>
      <c r="I90" s="43" t="n">
        <f aca="false">I78*w_e+I80</f>
        <v>0</v>
      </c>
      <c r="J90" s="43" t="n">
        <f aca="false">J78*w_e+J80</f>
        <v>0</v>
      </c>
      <c r="K90" s="43" t="n">
        <f aca="false">K78*w_e+K80</f>
        <v>0</v>
      </c>
      <c r="L90" s="43" t="n">
        <f aca="false">L78*w_e+L80</f>
        <v>0</v>
      </c>
      <c r="M90" s="43" t="n">
        <f aca="false">M78*w_e+M80</f>
        <v>0</v>
      </c>
    </row>
    <row r="91" customFormat="false" ht="15" hidden="false" customHeight="false" outlineLevel="0" collapsed="false">
      <c r="A91" s="36" t="s">
        <v>285</v>
      </c>
      <c r="B91" s="36" t="s">
        <v>286</v>
      </c>
      <c r="C91" s="36" t="s">
        <v>197</v>
      </c>
      <c r="D91" s="43" t="n">
        <f aca="false">SQRT((D90*w_ym/MAX(w_Ip,0.000000001))^2+(D78/w_n+D90*w_xm/MAX(w_Ip,0.000000001))^2)</f>
        <v>2466.49774196351</v>
      </c>
      <c r="E91" s="43" t="n">
        <f aca="false">SQRT((E90*w_ym/MAX(w_Ip,0.000000001))^2+(E78/w_n+E90*w_xm/MAX(w_Ip,0.000000001))^2)</f>
        <v>2018.04360706106</v>
      </c>
      <c r="F91" s="43" t="n">
        <f aca="false">SQRT((F90*w_ym/MAX(w_Ip,0.000000001))^2+(F78/w_n+F90*w_xm/MAX(w_Ip,0.000000001))^2)</f>
        <v>1345.36240470737</v>
      </c>
      <c r="G91" s="43" t="n">
        <f aca="false">SQRT((G90*w_ym/MAX(w_Ip,0.000000001))^2+(G78/w_n+G90*w_xm/MAX(w_Ip,0.000000001))^2)</f>
        <v>0</v>
      </c>
      <c r="H91" s="43" t="n">
        <f aca="false">SQRT((H90*w_ym/MAX(w_Ip,0.000000001))^2+(H78/w_n+H90*w_xm/MAX(w_Ip,0.000000001))^2)</f>
        <v>0</v>
      </c>
      <c r="I91" s="43" t="n">
        <f aca="false">SQRT((I90*w_ym/MAX(w_Ip,0.000000001))^2+(I78/w_n+I90*w_xm/MAX(w_Ip,0.000000001))^2)</f>
        <v>0</v>
      </c>
      <c r="J91" s="43" t="n">
        <f aca="false">SQRT((J90*w_ym/MAX(w_Ip,0.000000001))^2+(J78/w_n+J90*w_xm/MAX(w_Ip,0.000000001))^2)</f>
        <v>0</v>
      </c>
      <c r="K91" s="43" t="n">
        <f aca="false">SQRT((K90*w_ym/MAX(w_Ip,0.000000001))^2+(K78/w_n+K90*w_xm/MAX(w_Ip,0.000000001))^2)</f>
        <v>0</v>
      </c>
      <c r="L91" s="43" t="n">
        <f aca="false">SQRT((L90*w_ym/MAX(w_Ip,0.000000001))^2+(L78/w_n+L90*w_xm/MAX(w_Ip,0.000000001))^2)</f>
        <v>0</v>
      </c>
      <c r="M91" s="43" t="n">
        <f aca="false">SQRT((M90*w_ym/MAX(w_Ip,0.000000001))^2+(M78/w_n+M90*w_xm/MAX(w_Ip,0.000000001))^2)</f>
        <v>0</v>
      </c>
    </row>
    <row r="92" customFormat="false" ht="15" hidden="false" customHeight="false" outlineLevel="0" collapsed="false">
      <c r="A92" s="36" t="s">
        <v>274</v>
      </c>
      <c r="B92" s="36" t="s">
        <v>287</v>
      </c>
      <c r="C92" s="36" t="s">
        <v>76</v>
      </c>
      <c r="D92" s="44" t="n">
        <f aca="false">MAX(D91/w_rv,D91/w_rvs)</f>
        <v>0.151938916348272</v>
      </c>
      <c r="E92" s="44" t="n">
        <f aca="false">MAX(E91/w_rv,E91/w_rvs)</f>
        <v>0.124313658830404</v>
      </c>
      <c r="F92" s="44" t="n">
        <f aca="false">MAX(F91/w_rv,F91/w_rvs)</f>
        <v>0.0828757725536028</v>
      </c>
      <c r="G92" s="44" t="n">
        <f aca="false">MAX(G91/w_rv,G91/w_rvs)</f>
        <v>0</v>
      </c>
      <c r="H92" s="44" t="n">
        <f aca="false">MAX(H91/w_rv,H91/w_rvs)</f>
        <v>0</v>
      </c>
      <c r="I92" s="44" t="n">
        <f aca="false">MAX(I91/w_rv,I91/w_rvs)</f>
        <v>0</v>
      </c>
      <c r="J92" s="44" t="n">
        <f aca="false">MAX(J91/w_rv,J91/w_rvs)</f>
        <v>0</v>
      </c>
      <c r="K92" s="44" t="n">
        <f aca="false">MAX(K91/w_rv,K91/w_rvs)</f>
        <v>0</v>
      </c>
      <c r="L92" s="44" t="n">
        <f aca="false">MAX(L91/w_rv,L91/w_rvs)</f>
        <v>0</v>
      </c>
      <c r="M92" s="44" t="n">
        <f aca="false">MAX(M91/w_rv,M91/w_rvs)</f>
        <v>0</v>
      </c>
    </row>
    <row r="93" customFormat="false" ht="15" hidden="false" customHeight="false" outlineLevel="0" collapsed="false">
      <c r="A93" s="36" t="s">
        <v>274</v>
      </c>
      <c r="B93" s="36" t="s">
        <v>288</v>
      </c>
      <c r="C93" s="36" t="s">
        <v>76</v>
      </c>
      <c r="D93" s="44" t="n">
        <f aca="false">D91/MIN(w_rbw,w_rbp)</f>
        <v>0.336735245318013</v>
      </c>
      <c r="E93" s="44" t="n">
        <f aca="false">E91/MIN(w_rbw,w_rbp)</f>
        <v>0.275510655260193</v>
      </c>
      <c r="F93" s="44" t="n">
        <f aca="false">F91/MIN(w_rbw,w_rbp)</f>
        <v>0.183673770173462</v>
      </c>
      <c r="G93" s="44" t="n">
        <f aca="false">G91/MIN(w_rbw,w_rbp)</f>
        <v>0</v>
      </c>
      <c r="H93" s="44" t="n">
        <f aca="false">H91/MIN(w_rbw,w_rbp)</f>
        <v>0</v>
      </c>
      <c r="I93" s="44" t="n">
        <f aca="false">I91/MIN(w_rbw,w_rbp)</f>
        <v>0</v>
      </c>
      <c r="J93" s="44" t="n">
        <f aca="false">J91/MIN(w_rbw,w_rbp)</f>
        <v>0</v>
      </c>
      <c r="K93" s="44" t="n">
        <f aca="false">K91/MIN(w_rbw,w_rbp)</f>
        <v>0</v>
      </c>
      <c r="L93" s="44" t="n">
        <f aca="false">L91/MIN(w_rbw,w_rbp)</f>
        <v>0</v>
      </c>
      <c r="M93" s="44" t="n">
        <f aca="false">M91/MIN(w_rbw,w_rbp)</f>
        <v>0</v>
      </c>
    </row>
    <row r="94" customFormat="false" ht="15" hidden="false" customHeight="false" outlineLevel="0" collapsed="false">
      <c r="A94" s="36" t="s">
        <v>274</v>
      </c>
      <c r="B94" s="36" t="s">
        <v>289</v>
      </c>
      <c r="C94" s="36" t="s">
        <v>76</v>
      </c>
      <c r="D94" s="44" t="n">
        <f aca="false">D78/MIN(w_vy,w_vr)</f>
        <v>0.0877663981461694</v>
      </c>
      <c r="E94" s="44" t="n">
        <f aca="false">E78/MIN(w_vy,w_vr)</f>
        <v>0.0718088712105023</v>
      </c>
      <c r="F94" s="44" t="n">
        <f aca="false">F78/MIN(w_vy,w_vr)</f>
        <v>0.0478725808070015</v>
      </c>
      <c r="G94" s="44" t="n">
        <f aca="false">G78/MIN(w_vy,w_vr)</f>
        <v>0</v>
      </c>
      <c r="H94" s="44" t="n">
        <f aca="false">H78/MIN(w_vy,w_vr)</f>
        <v>0</v>
      </c>
      <c r="I94" s="44" t="n">
        <f aca="false">I78/MIN(w_vy,w_vr)</f>
        <v>0</v>
      </c>
      <c r="J94" s="44" t="n">
        <f aca="false">J78/MIN(w_vy,w_vr)</f>
        <v>0</v>
      </c>
      <c r="K94" s="44" t="n">
        <f aca="false">K78/MIN(w_vy,w_vr)</f>
        <v>0</v>
      </c>
      <c r="L94" s="44" t="n">
        <f aca="false">L78/MIN(w_vy,w_vr)</f>
        <v>0</v>
      </c>
      <c r="M94" s="44" t="n">
        <f aca="false">M78/MIN(w_vy,w_vr)</f>
        <v>0</v>
      </c>
    </row>
    <row r="95" customFormat="false" ht="15" hidden="false" customHeight="false" outlineLevel="0" collapsed="false">
      <c r="A95" s="36" t="s">
        <v>274</v>
      </c>
      <c r="B95" s="36" t="s">
        <v>290</v>
      </c>
      <c r="C95" s="36" t="s">
        <v>76</v>
      </c>
      <c r="D95" s="44" t="n">
        <f aca="false">(D78/w_vy)^2+(D90/w_Mn)^2</f>
        <v>0.00774208119039702</v>
      </c>
      <c r="E95" s="44" t="n">
        <f aca="false">(E78/w_vy)^2+(E90/w_Mn)^2</f>
        <v>0.00518271550762115</v>
      </c>
      <c r="F95" s="44" t="n">
        <f aca="false">(F78/w_vy)^2+(F90/w_Mn)^2</f>
        <v>0.00230342911449829</v>
      </c>
      <c r="G95" s="44" t="n">
        <f aca="false">(G78/w_vy)^2+(G90/w_Mn)^2</f>
        <v>0</v>
      </c>
      <c r="H95" s="44" t="n">
        <f aca="false">(H78/w_vy)^2+(H90/w_Mn)^2</f>
        <v>0</v>
      </c>
      <c r="I95" s="44" t="n">
        <f aca="false">(I78/w_vy)^2+(I90/w_Mn)^2</f>
        <v>0</v>
      </c>
      <c r="J95" s="44" t="n">
        <f aca="false">(J78/w_vy)^2+(J90/w_Mn)^2</f>
        <v>0</v>
      </c>
      <c r="K95" s="44" t="n">
        <f aca="false">(K78/w_vy)^2+(K90/w_Mn)^2</f>
        <v>0</v>
      </c>
      <c r="L95" s="44" t="n">
        <f aca="false">(L78/w_vy)^2+(L90/w_Mn)^2</f>
        <v>0</v>
      </c>
      <c r="M95" s="44" t="n">
        <f aca="false">(M78/w_vy)^2+(M90/w_Mn)^2</f>
        <v>0</v>
      </c>
    </row>
    <row r="96" customFormat="false" ht="15" hidden="false" customHeight="false" outlineLevel="0" collapsed="false">
      <c r="A96" s="36" t="s">
        <v>274</v>
      </c>
      <c r="B96" s="36" t="s">
        <v>291</v>
      </c>
      <c r="C96" s="36" t="s">
        <v>76</v>
      </c>
      <c r="D96" s="44" t="n">
        <f aca="false">D78/w_bs</f>
        <v>0.103174549577435</v>
      </c>
      <c r="E96" s="44" t="n">
        <f aca="false">E78/w_bs</f>
        <v>0.0844155405633556</v>
      </c>
      <c r="F96" s="44" t="n">
        <f aca="false">F78/w_bs</f>
        <v>0.056277027042237</v>
      </c>
      <c r="G96" s="44" t="n">
        <f aca="false">G78/w_bs</f>
        <v>0</v>
      </c>
      <c r="H96" s="44" t="n">
        <f aca="false">H78/w_bs</f>
        <v>0</v>
      </c>
      <c r="I96" s="44" t="n">
        <f aca="false">I78/w_bs</f>
        <v>0</v>
      </c>
      <c r="J96" s="44" t="n">
        <f aca="false">J78/w_bs</f>
        <v>0</v>
      </c>
      <c r="K96" s="44" t="n">
        <f aca="false">K78/w_bs</f>
        <v>0</v>
      </c>
      <c r="L96" s="44" t="n">
        <f aca="false">L78/w_bs</f>
        <v>0</v>
      </c>
      <c r="M96" s="44" t="n">
        <f aca="false">M78/w_bs</f>
        <v>0</v>
      </c>
    </row>
    <row r="97" customFormat="false" ht="15" hidden="false" customHeight="false" outlineLevel="0" collapsed="false">
      <c r="A97" s="36" t="s">
        <v>274</v>
      </c>
      <c r="B97" s="36" t="s">
        <v>292</v>
      </c>
      <c r="C97" s="36" t="s">
        <v>76</v>
      </c>
      <c r="D97" s="44" t="n">
        <f aca="false">D78/w_bvr</f>
        <v>0.133725686930163</v>
      </c>
      <c r="E97" s="44" t="n">
        <f aca="false">E78/w_bvr</f>
        <v>0.109411925670133</v>
      </c>
      <c r="F97" s="44" t="n">
        <f aca="false">F78/w_bvr</f>
        <v>0.0729412837800887</v>
      </c>
      <c r="G97" s="44" t="n">
        <f aca="false">G78/w_bvr</f>
        <v>0</v>
      </c>
      <c r="H97" s="44" t="n">
        <f aca="false">H78/w_bvr</f>
        <v>0</v>
      </c>
      <c r="I97" s="44" t="n">
        <f aca="false">I78/w_bvr</f>
        <v>0</v>
      </c>
      <c r="J97" s="44" t="n">
        <f aca="false">J78/w_bvr</f>
        <v>0</v>
      </c>
      <c r="K97" s="44" t="n">
        <f aca="false">K78/w_bvr</f>
        <v>0</v>
      </c>
      <c r="L97" s="44" t="n">
        <f aca="false">L78/w_bvr</f>
        <v>0</v>
      </c>
      <c r="M97" s="44" t="n">
        <f aca="false">M78/w_bvr</f>
        <v>0</v>
      </c>
    </row>
    <row r="98" customFormat="false" ht="15" hidden="false" customHeight="false" outlineLevel="0" collapsed="false">
      <c r="A98" s="36" t="s">
        <v>293</v>
      </c>
      <c r="B98" s="36" t="s">
        <v>136</v>
      </c>
      <c r="C98" s="36" t="s">
        <v>76</v>
      </c>
      <c r="D98" s="44" t="n">
        <f aca="false">MAX(D82,D83,D84,D85,D86,D87,D88,D89,D92,D93,D94,D95,D96,D97)</f>
        <v>0.336735245318013</v>
      </c>
      <c r="E98" s="44" t="n">
        <f aca="false">MAX(E82,E83,E84,E85,E86,E87,E88,E89,E92,E93,E94,E95,E96,E97)</f>
        <v>0.375382823474383</v>
      </c>
      <c r="F98" s="44" t="n">
        <f aca="false">MAX(F82,F83,F84,F85,F86,F87,F88,F89,F92,F93,F94,F95,F96,F97)</f>
        <v>0.255942834187079</v>
      </c>
      <c r="G98" s="44" t="n">
        <f aca="false">MAX(G82,G83,G84,G85,G86,G87,G88,G89,G92,G93,G94,G95,G96,G97)</f>
        <v>0</v>
      </c>
      <c r="H98" s="44" t="n">
        <f aca="false">MAX(H82,H83,H84,H85,H86,H87,H88,H89,H92,H93,H94,H95,H96,H97)</f>
        <v>0</v>
      </c>
      <c r="I98" s="44" t="n">
        <f aca="false">MAX(I82,I83,I84,I85,I86,I87,I88,I89,I92,I93,I94,I95,I96,I97)</f>
        <v>0</v>
      </c>
      <c r="J98" s="44" t="n">
        <f aca="false">MAX(J82,J83,J84,J85,J86,J87,J88,J89,J92,J93,J94,J95,J96,J97)</f>
        <v>0</v>
      </c>
      <c r="K98" s="44" t="n">
        <f aca="false">MAX(K82,K83,K84,K85,K86,K87,K88,K89,K92,K93,K94,K95,K96,K97)</f>
        <v>0</v>
      </c>
      <c r="L98" s="44" t="n">
        <f aca="false">MAX(L82,L83,L84,L85,L86,L87,L88,L89,L92,L93,L94,L95,L96,L97)</f>
        <v>0</v>
      </c>
      <c r="M98" s="44" t="n">
        <f aca="false">MAX(M82,M83,M84,M85,M86,M87,M88,M89,M92,M93,M94,M95,M96,M97)</f>
        <v>0</v>
      </c>
    </row>
  </sheetData>
  <mergeCells count="4">
    <mergeCell ref="A4:M4"/>
    <mergeCell ref="A18:M18"/>
    <mergeCell ref="A48:M48"/>
    <mergeCell ref="A74:M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7" min="7" style="0" width="12"/>
    <col collapsed="false" customWidth="true" hidden="false" outlineLevel="0" max="11" min="11" style="0" width="22"/>
    <col collapsed="false" customWidth="true" hidden="false" outlineLevel="0" max="15" min="15" style="0" width="8"/>
    <col collapsed="false" customWidth="true" hidden="false" outlineLevel="0" max="19" min="19" style="0" width="10"/>
    <col collapsed="false" customWidth="true" hidden="false" outlineLevel="0" max="26" min="26" style="0" width="38"/>
  </cols>
  <sheetData>
    <row r="1" customFormat="false" ht="15" hidden="false" customHeight="false" outlineLevel="0" collapsed="false">
      <c r="A1" s="45" t="s">
        <v>294</v>
      </c>
    </row>
    <row r="3" customFormat="false" ht="15" hidden="false" customHeight="false" outlineLevel="0" collapsed="false">
      <c r="A3" s="46" t="s">
        <v>295</v>
      </c>
      <c r="G3" s="46" t="s">
        <v>296</v>
      </c>
      <c r="K3" s="46" t="s">
        <v>297</v>
      </c>
      <c r="O3" s="46" t="s">
        <v>298</v>
      </c>
      <c r="U3" s="46" t="s">
        <v>299</v>
      </c>
      <c r="X3" s="46" t="s">
        <v>300</v>
      </c>
      <c r="Z3" s="46" t="s">
        <v>301</v>
      </c>
      <c r="AB3" s="46" t="s">
        <v>302</v>
      </c>
    </row>
    <row r="4" customFormat="false" ht="15" hidden="false" customHeight="false" outlineLevel="0" collapsed="false">
      <c r="A4" s="47" t="s">
        <v>303</v>
      </c>
      <c r="B4" s="47" t="s">
        <v>153</v>
      </c>
      <c r="C4" s="47" t="s">
        <v>155</v>
      </c>
      <c r="D4" s="47" t="s">
        <v>157</v>
      </c>
      <c r="E4" s="47" t="s">
        <v>159</v>
      </c>
      <c r="G4" s="47" t="s">
        <v>42</v>
      </c>
      <c r="H4" s="47" t="s">
        <v>304</v>
      </c>
      <c r="I4" s="47" t="s">
        <v>305</v>
      </c>
      <c r="K4" s="47" t="s">
        <v>103</v>
      </c>
      <c r="L4" s="47" t="s">
        <v>193</v>
      </c>
      <c r="M4" s="47" t="s">
        <v>306</v>
      </c>
      <c r="O4" s="47" t="s">
        <v>307</v>
      </c>
      <c r="P4" s="47" t="s">
        <v>308</v>
      </c>
      <c r="Q4" s="47" t="s">
        <v>309</v>
      </c>
      <c r="R4" s="47" t="s">
        <v>310</v>
      </c>
      <c r="S4" s="47" t="s">
        <v>311</v>
      </c>
      <c r="U4" s="47" t="s">
        <v>299</v>
      </c>
      <c r="V4" s="47" t="s">
        <v>312</v>
      </c>
      <c r="X4" s="47" t="s">
        <v>313</v>
      </c>
      <c r="Z4" s="47" t="s">
        <v>314</v>
      </c>
      <c r="AB4" s="47" t="s">
        <v>315</v>
      </c>
    </row>
    <row r="5" customFormat="false" ht="15" hidden="false" customHeight="false" outlineLevel="0" collapsed="false">
      <c r="A5" s="7" t="s">
        <v>316</v>
      </c>
      <c r="B5" s="7"/>
      <c r="C5" s="7"/>
      <c r="D5" s="7"/>
      <c r="E5" s="7"/>
      <c r="G5" s="7" t="s">
        <v>129</v>
      </c>
      <c r="H5" s="7" t="n">
        <v>2530</v>
      </c>
      <c r="I5" s="7" t="n">
        <v>4080</v>
      </c>
      <c r="K5" s="7" t="s">
        <v>104</v>
      </c>
      <c r="L5" s="7" t="n">
        <v>3797</v>
      </c>
      <c r="M5" s="7" t="s">
        <v>317</v>
      </c>
      <c r="O5" s="7" t="s">
        <v>318</v>
      </c>
      <c r="P5" s="7" t="n">
        <v>0.625</v>
      </c>
      <c r="Q5" s="7" t="n">
        <v>0.875</v>
      </c>
      <c r="R5" s="7" t="n">
        <v>8618</v>
      </c>
      <c r="S5" s="7" t="n">
        <v>10886</v>
      </c>
      <c r="U5" s="7" t="s">
        <v>319</v>
      </c>
      <c r="V5" s="7" t="n">
        <v>4220</v>
      </c>
      <c r="X5" s="7" t="s">
        <v>87</v>
      </c>
      <c r="Z5" s="7" t="s">
        <v>59</v>
      </c>
      <c r="AB5" s="7" t="n">
        <v>0</v>
      </c>
    </row>
    <row r="6" customFormat="false" ht="15" hidden="false" customHeight="false" outlineLevel="0" collapsed="false">
      <c r="A6" s="7" t="s">
        <v>320</v>
      </c>
      <c r="B6" s="7" t="n">
        <v>250</v>
      </c>
      <c r="C6" s="7" t="n">
        <v>130</v>
      </c>
      <c r="D6" s="7" t="n">
        <v>4</v>
      </c>
      <c r="E6" s="7" t="n">
        <v>8</v>
      </c>
      <c r="G6" s="7" t="s">
        <v>43</v>
      </c>
      <c r="H6" s="7" t="n">
        <v>3515</v>
      </c>
      <c r="I6" s="7" t="n">
        <v>4570</v>
      </c>
      <c r="K6" s="7" t="s">
        <v>321</v>
      </c>
      <c r="L6" s="7" t="n">
        <v>4781</v>
      </c>
      <c r="M6" s="7" t="s">
        <v>317</v>
      </c>
      <c r="O6" s="7" t="s">
        <v>108</v>
      </c>
      <c r="P6" s="7" t="n">
        <v>0.75</v>
      </c>
      <c r="Q6" s="7" t="n">
        <v>1</v>
      </c>
      <c r="R6" s="7" t="n">
        <v>12701</v>
      </c>
      <c r="S6" s="7" t="n">
        <v>15876</v>
      </c>
      <c r="U6" s="7" t="s">
        <v>322</v>
      </c>
      <c r="V6" s="7" t="n">
        <v>4920</v>
      </c>
      <c r="X6" s="7" t="s">
        <v>323</v>
      </c>
      <c r="Z6" s="7" t="s">
        <v>324</v>
      </c>
      <c r="AB6" s="7" t="n">
        <v>3</v>
      </c>
    </row>
    <row r="7" customFormat="false" ht="15" hidden="false" customHeight="false" outlineLevel="0" collapsed="false">
      <c r="A7" s="7" t="s">
        <v>325</v>
      </c>
      <c r="B7" s="7" t="n">
        <v>300</v>
      </c>
      <c r="C7" s="7" t="n">
        <v>150</v>
      </c>
      <c r="D7" s="7" t="n">
        <v>4</v>
      </c>
      <c r="E7" s="7" t="n">
        <v>10</v>
      </c>
      <c r="G7" s="7" t="s">
        <v>326</v>
      </c>
      <c r="H7" s="7" t="n">
        <v>3515</v>
      </c>
      <c r="I7" s="7" t="n">
        <v>4570</v>
      </c>
      <c r="K7" s="7" t="s">
        <v>327</v>
      </c>
      <c r="L7" s="7" t="n">
        <v>4781</v>
      </c>
      <c r="M7" s="7" t="s">
        <v>328</v>
      </c>
      <c r="O7" s="7" t="s">
        <v>329</v>
      </c>
      <c r="P7" s="7" t="n">
        <v>0.875</v>
      </c>
      <c r="Q7" s="7" t="n">
        <v>1.125</v>
      </c>
      <c r="R7" s="7" t="n">
        <v>17690</v>
      </c>
      <c r="S7" s="7" t="n">
        <v>22226</v>
      </c>
      <c r="Z7" s="7" t="s">
        <v>330</v>
      </c>
      <c r="AB7" s="7" t="n">
        <v>5</v>
      </c>
    </row>
    <row r="8" customFormat="false" ht="15" hidden="false" customHeight="false" outlineLevel="0" collapsed="false">
      <c r="A8" s="7" t="s">
        <v>331</v>
      </c>
      <c r="B8" s="7" t="n">
        <v>330</v>
      </c>
      <c r="C8" s="7" t="n">
        <v>160</v>
      </c>
      <c r="D8" s="7" t="n">
        <v>6</v>
      </c>
      <c r="E8" s="7" t="n">
        <v>10</v>
      </c>
      <c r="G8" s="7" t="s">
        <v>332</v>
      </c>
      <c r="H8" s="7" t="n">
        <v>3515</v>
      </c>
      <c r="I8" s="7" t="n">
        <v>4920</v>
      </c>
      <c r="K8" s="7" t="s">
        <v>333</v>
      </c>
      <c r="L8" s="7" t="n">
        <v>5906</v>
      </c>
      <c r="M8" s="7" t="s">
        <v>328</v>
      </c>
      <c r="O8" s="7" t="s">
        <v>334</v>
      </c>
      <c r="P8" s="7" t="n">
        <v>1</v>
      </c>
      <c r="Q8" s="7" t="n">
        <v>1.25</v>
      </c>
      <c r="R8" s="7" t="n">
        <v>23133</v>
      </c>
      <c r="S8" s="7" t="n">
        <v>29030</v>
      </c>
      <c r="AB8" s="7" t="n">
        <v>6</v>
      </c>
    </row>
    <row r="9" customFormat="false" ht="15" hidden="false" customHeight="false" outlineLevel="0" collapsed="false">
      <c r="A9" s="7" t="s">
        <v>335</v>
      </c>
      <c r="B9" s="7" t="n">
        <v>360</v>
      </c>
      <c r="C9" s="7" t="n">
        <v>180</v>
      </c>
      <c r="D9" s="7" t="n">
        <v>6</v>
      </c>
      <c r="E9" s="7" t="n">
        <v>10</v>
      </c>
      <c r="O9" s="7" t="s">
        <v>336</v>
      </c>
      <c r="P9" s="7" t="n">
        <v>1.125</v>
      </c>
      <c r="Q9" s="7" t="n">
        <v>1.5</v>
      </c>
      <c r="R9" s="7" t="n">
        <v>29030</v>
      </c>
      <c r="S9" s="7" t="n">
        <v>36287</v>
      </c>
      <c r="AB9" s="7" t="n">
        <v>8</v>
      </c>
    </row>
    <row r="10" customFormat="false" ht="15" hidden="false" customHeight="false" outlineLevel="0" collapsed="false">
      <c r="A10" s="7" t="s">
        <v>337</v>
      </c>
      <c r="B10" s="7" t="n">
        <v>400</v>
      </c>
      <c r="C10" s="7" t="n">
        <v>180</v>
      </c>
      <c r="D10" s="7" t="n">
        <v>6</v>
      </c>
      <c r="E10" s="7" t="n">
        <v>10</v>
      </c>
      <c r="O10" s="7" t="s">
        <v>338</v>
      </c>
      <c r="P10" s="7" t="n">
        <v>1.25</v>
      </c>
      <c r="Q10" s="7" t="n">
        <v>1.625</v>
      </c>
      <c r="R10" s="7" t="n">
        <v>36741</v>
      </c>
      <c r="S10" s="7" t="n">
        <v>46266</v>
      </c>
      <c r="AB10" s="7" t="n">
        <v>10</v>
      </c>
    </row>
    <row r="11" customFormat="false" ht="15" hidden="false" customHeight="false" outlineLevel="0" collapsed="false">
      <c r="A11" s="7" t="s">
        <v>25</v>
      </c>
      <c r="B11" s="7" t="n">
        <v>400</v>
      </c>
      <c r="C11" s="7" t="n">
        <v>180</v>
      </c>
      <c r="D11" s="7" t="n">
        <v>6</v>
      </c>
      <c r="E11" s="7" t="n">
        <v>12</v>
      </c>
      <c r="AB11" s="7" t="n">
        <v>12</v>
      </c>
    </row>
    <row r="12" customFormat="false" ht="15" hidden="false" customHeight="false" outlineLevel="0" collapsed="false">
      <c r="A12" s="7" t="s">
        <v>339</v>
      </c>
      <c r="B12" s="7" t="n">
        <v>420</v>
      </c>
      <c r="C12" s="7" t="n">
        <v>180</v>
      </c>
      <c r="D12" s="7" t="n">
        <v>6</v>
      </c>
      <c r="E12" s="7" t="n">
        <v>12</v>
      </c>
      <c r="AB12" s="7" t="n">
        <v>15</v>
      </c>
    </row>
    <row r="13" customFormat="false" ht="15" hidden="false" customHeight="false" outlineLevel="0" collapsed="false">
      <c r="A13" s="7" t="s">
        <v>340</v>
      </c>
      <c r="B13" s="7" t="n">
        <v>440</v>
      </c>
      <c r="C13" s="7" t="n">
        <v>180</v>
      </c>
      <c r="D13" s="7" t="n">
        <v>6</v>
      </c>
      <c r="E13" s="7" t="n">
        <v>12</v>
      </c>
      <c r="AB13" s="7" t="n">
        <v>16</v>
      </c>
    </row>
    <row r="14" customFormat="false" ht="15" hidden="false" customHeight="false" outlineLevel="0" collapsed="false">
      <c r="A14" s="7" t="s">
        <v>341</v>
      </c>
      <c r="B14" s="7" t="n">
        <v>200</v>
      </c>
      <c r="C14" s="7" t="n">
        <v>140</v>
      </c>
      <c r="D14" s="7" t="n">
        <v>6</v>
      </c>
      <c r="E14" s="7" t="n">
        <v>12</v>
      </c>
      <c r="AB14" s="7" t="n">
        <v>19</v>
      </c>
    </row>
    <row r="15" customFormat="false" ht="15" hidden="false" customHeight="false" outlineLevel="0" collapsed="false">
      <c r="A15" s="7" t="s">
        <v>342</v>
      </c>
      <c r="B15" s="7" t="n">
        <v>240</v>
      </c>
      <c r="C15" s="7" t="n">
        <v>180</v>
      </c>
      <c r="D15" s="7" t="n">
        <v>6</v>
      </c>
      <c r="E15" s="7" t="n">
        <v>12</v>
      </c>
      <c r="AB15" s="7" t="n">
        <v>20</v>
      </c>
    </row>
    <row r="16" customFormat="false" ht="15" hidden="false" customHeight="false" outlineLevel="0" collapsed="false">
      <c r="A16" s="7" t="s">
        <v>343</v>
      </c>
      <c r="B16" s="7" t="n">
        <v>300</v>
      </c>
      <c r="C16" s="7" t="n">
        <v>180</v>
      </c>
      <c r="D16" s="7" t="n">
        <v>6</v>
      </c>
      <c r="E16" s="7" t="n">
        <v>12</v>
      </c>
      <c r="AB16" s="7" t="n">
        <v>22</v>
      </c>
    </row>
    <row r="17" customFormat="false" ht="15" hidden="false" customHeight="false" outlineLevel="0" collapsed="false">
      <c r="A17" s="7" t="s">
        <v>344</v>
      </c>
      <c r="B17" s="7" t="n">
        <v>360</v>
      </c>
      <c r="C17" s="7" t="n">
        <v>180</v>
      </c>
      <c r="D17" s="7" t="n">
        <v>6</v>
      </c>
      <c r="E17" s="7" t="n">
        <v>12</v>
      </c>
      <c r="AB17" s="7" t="n">
        <v>25</v>
      </c>
    </row>
    <row r="18" customFormat="false" ht="15" hidden="false" customHeight="false" outlineLevel="0" collapsed="false">
      <c r="A18" s="7" t="s">
        <v>345</v>
      </c>
      <c r="B18" s="7" t="n">
        <v>380</v>
      </c>
      <c r="C18" s="7" t="n">
        <v>200</v>
      </c>
      <c r="D18" s="7" t="n">
        <v>8</v>
      </c>
      <c r="E18" s="7" t="n">
        <v>15</v>
      </c>
      <c r="AB18" s="7" t="n">
        <v>28</v>
      </c>
    </row>
    <row r="19" customFormat="false" ht="15" hidden="false" customHeight="false" outlineLevel="0" collapsed="false">
      <c r="A19" s="7" t="s">
        <v>346</v>
      </c>
      <c r="B19" s="7" t="n">
        <v>400</v>
      </c>
      <c r="C19" s="7" t="n">
        <v>200</v>
      </c>
      <c r="D19" s="7" t="n">
        <v>8</v>
      </c>
      <c r="E19" s="7" t="n">
        <v>15</v>
      </c>
      <c r="AB19" s="7" t="n">
        <v>30</v>
      </c>
    </row>
    <row r="20" customFormat="false" ht="15" hidden="false" customHeight="false" outlineLevel="0" collapsed="false">
      <c r="A20" s="7" t="s">
        <v>347</v>
      </c>
      <c r="B20" s="7" t="n">
        <v>420</v>
      </c>
      <c r="C20" s="7" t="n">
        <v>210</v>
      </c>
      <c r="D20" s="7" t="n">
        <v>8</v>
      </c>
      <c r="E20" s="7" t="n">
        <v>15</v>
      </c>
      <c r="AB20" s="7" t="n">
        <v>32</v>
      </c>
    </row>
    <row r="21" customFormat="false" ht="15" hidden="false" customHeight="false" outlineLevel="0" collapsed="false">
      <c r="A21" s="7" t="s">
        <v>348</v>
      </c>
      <c r="B21" s="7" t="n">
        <v>440</v>
      </c>
      <c r="C21" s="7" t="n">
        <v>220</v>
      </c>
      <c r="D21" s="7" t="n">
        <v>8</v>
      </c>
      <c r="E21" s="7" t="n">
        <v>15</v>
      </c>
      <c r="AB21" s="7" t="n">
        <v>35</v>
      </c>
    </row>
    <row r="22" customFormat="false" ht="15" hidden="false" customHeight="false" outlineLevel="0" collapsed="false">
      <c r="A22" s="7" t="s">
        <v>349</v>
      </c>
      <c r="B22" s="7" t="n">
        <v>460</v>
      </c>
      <c r="C22" s="7" t="n">
        <v>230</v>
      </c>
      <c r="D22" s="7" t="n">
        <v>8</v>
      </c>
      <c r="E22" s="7" t="n">
        <v>15</v>
      </c>
      <c r="AB22" s="7" t="n">
        <v>38</v>
      </c>
    </row>
    <row r="23" customFormat="false" ht="15" hidden="false" customHeight="false" outlineLevel="0" collapsed="false">
      <c r="A23" s="7" t="s">
        <v>350</v>
      </c>
      <c r="B23" s="7" t="n">
        <v>480</v>
      </c>
      <c r="C23" s="7" t="n">
        <v>240</v>
      </c>
      <c r="D23" s="7" t="n">
        <v>8</v>
      </c>
      <c r="E23" s="7" t="n">
        <v>15</v>
      </c>
    </row>
    <row r="24" customFormat="false" ht="15" hidden="false" customHeight="false" outlineLevel="0" collapsed="false">
      <c r="A24" s="7" t="s">
        <v>351</v>
      </c>
      <c r="B24" s="7" t="n">
        <v>500</v>
      </c>
      <c r="C24" s="7" t="n">
        <v>250</v>
      </c>
      <c r="D24" s="7" t="n">
        <v>10</v>
      </c>
      <c r="E24" s="7" t="n">
        <v>15</v>
      </c>
    </row>
    <row r="25" customFormat="false" ht="15" hidden="false" customHeight="false" outlineLevel="0" collapsed="false">
      <c r="A25" s="7" t="s">
        <v>352</v>
      </c>
      <c r="B25" s="7" t="n">
        <v>520</v>
      </c>
      <c r="C25" s="7" t="n">
        <v>260</v>
      </c>
      <c r="D25" s="7" t="n">
        <v>10</v>
      </c>
      <c r="E25" s="7" t="n">
        <v>15</v>
      </c>
    </row>
    <row r="26" customFormat="false" ht="15" hidden="false" customHeight="false" outlineLevel="0" collapsed="false">
      <c r="A26" s="7" t="s">
        <v>353</v>
      </c>
      <c r="B26" s="7" t="n">
        <v>540</v>
      </c>
      <c r="C26" s="7" t="n">
        <v>270</v>
      </c>
      <c r="D26" s="7" t="n">
        <v>10</v>
      </c>
      <c r="E26" s="7" t="n">
        <v>15</v>
      </c>
    </row>
    <row r="27" customFormat="false" ht="15" hidden="false" customHeight="false" outlineLevel="0" collapsed="false">
      <c r="A27" s="7" t="s">
        <v>354</v>
      </c>
      <c r="B27" s="7" t="n">
        <v>203</v>
      </c>
      <c r="C27" s="7" t="n">
        <v>203</v>
      </c>
      <c r="D27" s="7" t="n">
        <v>7.2</v>
      </c>
      <c r="E27" s="7" t="n">
        <v>11</v>
      </c>
    </row>
    <row r="28" customFormat="false" ht="15" hidden="false" customHeight="false" outlineLevel="0" collapsed="false">
      <c r="A28" s="7" t="s">
        <v>355</v>
      </c>
      <c r="B28" s="7" t="n">
        <v>254</v>
      </c>
      <c r="C28" s="7" t="n">
        <v>254</v>
      </c>
      <c r="D28" s="7" t="n">
        <v>8.6</v>
      </c>
      <c r="E28" s="7" t="n">
        <v>14.2</v>
      </c>
    </row>
    <row r="29" customFormat="false" ht="15" hidden="false" customHeight="false" outlineLevel="0" collapsed="false">
      <c r="A29" s="7" t="s">
        <v>356</v>
      </c>
      <c r="B29" s="7" t="n">
        <v>308</v>
      </c>
      <c r="C29" s="7" t="n">
        <v>305</v>
      </c>
      <c r="D29" s="7" t="n">
        <v>9.9</v>
      </c>
      <c r="E29" s="7" t="n">
        <v>15.4</v>
      </c>
    </row>
    <row r="30" customFormat="false" ht="15" hidden="false" customHeight="false" outlineLevel="0" collapsed="false">
      <c r="A30" s="7" t="s">
        <v>357</v>
      </c>
      <c r="B30" s="7" t="n">
        <v>356</v>
      </c>
      <c r="C30" s="7" t="n">
        <v>368</v>
      </c>
      <c r="D30" s="7" t="n">
        <v>11.2</v>
      </c>
      <c r="E30" s="7" t="n">
        <v>18</v>
      </c>
    </row>
    <row r="31" customFormat="false" ht="15" hidden="false" customHeight="false" outlineLevel="0" collapsed="false">
      <c r="A31" s="7" t="s">
        <v>358</v>
      </c>
      <c r="B31" s="7" t="n">
        <v>368</v>
      </c>
      <c r="C31" s="7" t="n">
        <v>373</v>
      </c>
      <c r="D31" s="7" t="n">
        <v>15</v>
      </c>
      <c r="E31" s="7" t="n">
        <v>23.9</v>
      </c>
    </row>
    <row r="32" customFormat="false" ht="15" hidden="false" customHeight="false" outlineLevel="0" collapsed="false">
      <c r="A32" s="7" t="s">
        <v>359</v>
      </c>
      <c r="B32" s="7" t="n">
        <v>407</v>
      </c>
      <c r="C32" s="7" t="n">
        <v>178</v>
      </c>
      <c r="D32" s="7" t="n">
        <v>7.7</v>
      </c>
      <c r="E32" s="7" t="n">
        <v>12.8</v>
      </c>
    </row>
    <row r="33" customFormat="false" ht="15" hidden="false" customHeight="false" outlineLevel="0" collapsed="false">
      <c r="A33" s="7" t="s">
        <v>360</v>
      </c>
      <c r="B33" s="7" t="n">
        <v>457</v>
      </c>
      <c r="C33" s="7" t="n">
        <v>190</v>
      </c>
      <c r="D33" s="7" t="n">
        <v>9</v>
      </c>
      <c r="E33" s="7" t="n">
        <v>14.5</v>
      </c>
    </row>
    <row r="34" customFormat="false" ht="15" hidden="false" customHeight="false" outlineLevel="0" collapsed="false">
      <c r="A34" s="7" t="s">
        <v>361</v>
      </c>
      <c r="B34" s="7" t="n">
        <v>533</v>
      </c>
      <c r="C34" s="7" t="n">
        <v>209</v>
      </c>
      <c r="D34" s="7" t="n">
        <v>10.2</v>
      </c>
      <c r="E34" s="7" t="n">
        <v>15.6</v>
      </c>
    </row>
    <row r="35" customFormat="false" ht="15" hidden="false" customHeight="false" outlineLevel="0" collapsed="false">
      <c r="A35" s="7" t="s">
        <v>362</v>
      </c>
      <c r="B35" s="7" t="n">
        <v>608</v>
      </c>
      <c r="C35" s="7" t="n">
        <v>228</v>
      </c>
      <c r="D35" s="7" t="n">
        <v>11.2</v>
      </c>
      <c r="E35" s="7" t="n">
        <v>17.3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V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8" t="s">
        <v>363</v>
      </c>
    </row>
    <row r="2" customFormat="false" ht="15" hidden="false" customHeight="false" outlineLevel="0" collapsed="false">
      <c r="D2" s="49" t="s">
        <v>364</v>
      </c>
      <c r="G2" s="49" t="s">
        <v>365</v>
      </c>
      <c r="J2" s="49" t="s">
        <v>366</v>
      </c>
      <c r="M2" s="49" t="s">
        <v>367</v>
      </c>
      <c r="P2" s="49" t="s">
        <v>368</v>
      </c>
      <c r="S2" s="49" t="s">
        <v>369</v>
      </c>
      <c r="V2" s="49" t="s">
        <v>370</v>
      </c>
      <c r="Y2" s="49" t="s">
        <v>371</v>
      </c>
      <c r="AB2" s="49" t="s">
        <v>372</v>
      </c>
      <c r="AE2" s="49" t="s">
        <v>373</v>
      </c>
      <c r="AH2" s="49" t="s">
        <v>374</v>
      </c>
      <c r="AK2" s="49" t="s">
        <v>375</v>
      </c>
      <c r="AN2" s="49" t="s">
        <v>376</v>
      </c>
      <c r="AQ2" s="49" t="s">
        <v>377</v>
      </c>
      <c r="AT2" s="49" t="s">
        <v>378</v>
      </c>
      <c r="AW2" s="49" t="s">
        <v>379</v>
      </c>
      <c r="AZ2" s="49" t="s">
        <v>380</v>
      </c>
      <c r="BC2" s="49" t="s">
        <v>381</v>
      </c>
      <c r="BF2" s="49" t="s">
        <v>382</v>
      </c>
      <c r="BI2" s="49" t="s">
        <v>383</v>
      </c>
      <c r="BL2" s="49" t="s">
        <v>384</v>
      </c>
      <c r="BO2" s="49" t="s">
        <v>385</v>
      </c>
      <c r="BR2" s="49" t="s">
        <v>375</v>
      </c>
      <c r="BU2" s="49" t="s">
        <v>376</v>
      </c>
    </row>
    <row r="3" customFormat="false" ht="15" hidden="false" customHeight="false" outlineLevel="0" collapsed="false">
      <c r="A3" s="0" t="s">
        <v>386</v>
      </c>
      <c r="B3" s="0" t="n">
        <f aca="false">2*(fa_Leb/10+(fa_n-1)*fa_s/10+fa_Lep/10)+k_gap</f>
        <v>47</v>
      </c>
    </row>
    <row r="4" customFormat="false" ht="15" hidden="false" customHeight="false" outlineLevel="0" collapsed="false">
      <c r="A4" s="0" t="s">
        <v>387</v>
      </c>
      <c r="B4" s="0" t="n">
        <f aca="false">2*(wa_Leb/10+(wa_nc-1)*wa_sh/10+wa_Lep/10)+k_gap</f>
        <v>17</v>
      </c>
      <c r="D4" s="0" t="n">
        <f aca="false">((-dLb)-(0))/dSe</f>
        <v>-0.952380952380952</v>
      </c>
      <c r="E4" s="0" t="n">
        <f aca="false">((b_d/2)-(0))/dSe</f>
        <v>0.437876299945265</v>
      </c>
      <c r="G4" s="0" t="n">
        <f aca="false">((-dLb)-(0))/dSe</f>
        <v>-0.952380952380952</v>
      </c>
      <c r="H4" s="0" t="n">
        <f aca="false">((b_d/2-b_tf)-(0))/dSe</f>
        <v>0.41160372194855</v>
      </c>
      <c r="J4" s="0" t="n">
        <f aca="false">((-dLb)-(0))/dSe</f>
        <v>-0.952380952380952</v>
      </c>
      <c r="K4" s="0" t="n">
        <f aca="false">((-b_d/2+b_tf)-(0))/dSe</f>
        <v>-0.41160372194855</v>
      </c>
      <c r="M4" s="0" t="n">
        <f aca="false">((dLb)-(0))/dSe</f>
        <v>0.952380952380952</v>
      </c>
      <c r="N4" s="0" t="n">
        <f aca="false">((b_d/2)-(0))/dSe</f>
        <v>0.437876299945265</v>
      </c>
      <c r="P4" s="0" t="n">
        <f aca="false">((dLb)-(0))/dSe</f>
        <v>0.952380952380952</v>
      </c>
      <c r="Q4" s="0" t="n">
        <f aca="false">((b_d/2-b_tf)-(0))/dSe</f>
        <v>0.41160372194855</v>
      </c>
      <c r="S4" s="0" t="n">
        <f aca="false">((dLb)-(0))/dSe</f>
        <v>0.952380952380952</v>
      </c>
      <c r="T4" s="0" t="n">
        <f aca="false">((-b_d/2+b_tf)-(0))/dSe</f>
        <v>-0.41160372194855</v>
      </c>
      <c r="V4" s="0" t="n">
        <f aca="false">((-dLfp/2)-(0))/dSe</f>
        <v>-0.514504652435687</v>
      </c>
      <c r="W4" s="0" t="n">
        <f aca="false">((b_d/2)-(0))/dSe</f>
        <v>0.437876299945265</v>
      </c>
      <c r="Y4" s="0" t="n">
        <f aca="false">((-dLfp/2)-(0))/dSe</f>
        <v>-0.514504652435687</v>
      </c>
      <c r="Z4" s="0" t="n">
        <f aca="false">((-b_d/2-pf_to/10)-(0))/dSe</f>
        <v>-0.464148877941981</v>
      </c>
      <c r="AB4" s="0" t="n">
        <f aca="false">((-dLfp/2*j_in)-(0))/dSe</f>
        <v>-0.514504652435687</v>
      </c>
      <c r="AC4" s="0" t="n">
        <f aca="false">((b_d/2-b_tf-j_in*pf_ti/10)-(0))/dSe</f>
        <v>0.389709906951286</v>
      </c>
      <c r="AE4" s="0" t="n">
        <f aca="false">((-dLfp/2*j_in)-(0))/dSe</f>
        <v>-0.514504652435687</v>
      </c>
      <c r="AF4" s="0" t="n">
        <f aca="false">((-b_d/2+b_tf)-(0))/dSe</f>
        <v>-0.41160372194855</v>
      </c>
      <c r="AH4" s="0" t="n">
        <f aca="false">((-dLwp/2)-(0))/dSe</f>
        <v>-0.186097427476738</v>
      </c>
      <c r="AI4" s="0" t="n">
        <f aca="false">((-pw_h/20)-(0))/dSe</f>
        <v>-0.306513409961686</v>
      </c>
      <c r="AK4" s="0" t="n">
        <f aca="false">((-1*(k_gap/2+fa_Leb/10+fa_s/10*MIN(0,fa_n-1)))-(0))/dSe</f>
        <v>-0.0985221674876847</v>
      </c>
      <c r="AL4" s="0" t="n">
        <f aca="false">((b_d/2)-(0))/dSe</f>
        <v>0.437876299945265</v>
      </c>
      <c r="AN4" s="0" t="n">
        <f aca="false">((-1*(k_gap/2+wa_Leb/10+wa_sh/10*MIN(0,wa_nc-1)))-(0))/dSe</f>
        <v>-0.0985221674876847</v>
      </c>
      <c r="AO4" s="0" t="n">
        <f aca="false">((-(wa_nr-1)*wa_sv/20+wa_sv/10*MIN(0,wa_nr-1))-(0))/dSe</f>
        <v>-0.164203612479475</v>
      </c>
      <c r="AQ4" s="0" t="n">
        <f aca="false">((-b_bf/2)-(0))/dSs</f>
        <v>-0.385934819897084</v>
      </c>
      <c r="AR4" s="0" t="n">
        <f aca="false">((b_d/2)-(0))/dSs</f>
        <v>0.857632933104631</v>
      </c>
      <c r="AT4" s="0" t="n">
        <f aca="false">((-pf_bo/20)-(0))/dSs</f>
        <v>-0.385934819897084</v>
      </c>
      <c r="AU4" s="0" t="n">
        <f aca="false">((b_d/2)-(0))/dSs</f>
        <v>0.857632933104631</v>
      </c>
      <c r="AW4" s="0" t="n">
        <f aca="false">((-pf_bo/20)-(0))/dSs</f>
        <v>-0.385934819897084</v>
      </c>
      <c r="AX4" s="0" t="n">
        <f aca="false">((-b_d/2-pf_to/10)-(0))/dSs</f>
        <v>-0.909090909090909</v>
      </c>
      <c r="AZ4" s="0" t="n">
        <f aca="false">(((b_bf/2-j_in*pf_bi/10))-(0))/dSs</f>
        <v>0.0857632933104631</v>
      </c>
      <c r="BA4" s="0" t="n">
        <f aca="false">(((b_d/2-b_tf-j_in*pf_ti/10))-(0))/dSs</f>
        <v>0.763293310463122</v>
      </c>
      <c r="BC4" s="0" t="n">
        <f aca="false">(((b_bf/2-j_in*pf_bi/10))-(0))/dSs</f>
        <v>0.0857632933104631</v>
      </c>
      <c r="BD4" s="0" t="n">
        <f aca="false">((-(b_d/2-b_tf-j_in*pf_ti/10))-(0))/dSs</f>
        <v>-0.763293310463122</v>
      </c>
      <c r="BF4" s="0" t="n">
        <f aca="false">((-(b_bf/2-j_in*pf_bi/10))-(0))/dSs</f>
        <v>-0.0857632933104631</v>
      </c>
      <c r="BG4" s="0" t="n">
        <f aca="false">(((b_d/2-b_tf-j_in*pf_ti/10))-(0))/dSs</f>
        <v>0.763293310463122</v>
      </c>
      <c r="BI4" s="0" t="n">
        <f aca="false">((-(b_bf/2-j_in*pf_bi/10))-(0))/dSs</f>
        <v>-0.0857632933104631</v>
      </c>
      <c r="BJ4" s="0" t="n">
        <f aca="false">((-(b_d/2-b_tf-j_in*pf_ti/10))-(0))/dSs</f>
        <v>-0.763293310463122</v>
      </c>
      <c r="BL4" s="0" t="n">
        <f aca="false">((b_tw/2)-(0))/dSs</f>
        <v>0.0128644939965695</v>
      </c>
      <c r="BM4" s="0" t="n">
        <f aca="false">((-pw_h/20)-(0))/dSs</f>
        <v>-0.600343053173242</v>
      </c>
      <c r="BO4" s="0" t="n">
        <f aca="false">((-b_tw/2-pw_t/10)-(0))/dSs</f>
        <v>-0.0471698113207547</v>
      </c>
      <c r="BP4" s="0" t="n">
        <f aca="false">((-pw_h/20)-(0))/dSs</f>
        <v>-0.600343053173242</v>
      </c>
      <c r="BR4" s="0" t="n">
        <f aca="false">((-fa_g/20)-(0))/dSs</f>
        <v>-0.235849056603774</v>
      </c>
      <c r="BS4" s="0" t="n">
        <f aca="false">((b_d/2)-(0))/dSs</f>
        <v>0.857632933104631</v>
      </c>
      <c r="BU4" s="0" t="n">
        <f aca="false">((0)-(0))/dSs</f>
        <v>0</v>
      </c>
      <c r="BV4" s="0" t="n">
        <f aca="false">((-(wa_nr-1)*wa_sv/20+wa_sv/10*MIN(0,wa_nr-1))-(0))/dSs</f>
        <v>-0.321612349914237</v>
      </c>
    </row>
    <row r="5" customFormat="false" ht="15" hidden="false" customHeight="false" outlineLevel="0" collapsed="false">
      <c r="A5" s="0" t="s">
        <v>388</v>
      </c>
      <c r="B5" s="0" t="n">
        <f aca="false">MAX(dLfp,dLwp)/2+0.5*b_d</f>
        <v>43.5</v>
      </c>
      <c r="D5" s="0" t="n">
        <f aca="false">((-k_gap/2)-(0))/dSe</f>
        <v>-0.0109469074986316</v>
      </c>
      <c r="E5" s="0" t="n">
        <f aca="false">((b_d/2)-(0))/dSe</f>
        <v>0.437876299945265</v>
      </c>
      <c r="G5" s="0" t="n">
        <f aca="false">((-k_gap/2)-(0))/dSe</f>
        <v>-0.0109469074986316</v>
      </c>
      <c r="H5" s="0" t="n">
        <f aca="false">((b_d/2-b_tf)-(0))/dSe</f>
        <v>0.41160372194855</v>
      </c>
      <c r="J5" s="0" t="n">
        <f aca="false">((-k_gap/2)-(0))/dSe</f>
        <v>-0.0109469074986316</v>
      </c>
      <c r="K5" s="0" t="n">
        <f aca="false">((-b_d/2+b_tf)-(0))/dSe</f>
        <v>-0.41160372194855</v>
      </c>
      <c r="M5" s="0" t="n">
        <f aca="false">((k_gap/2)-(0))/dSe</f>
        <v>0.0109469074986316</v>
      </c>
      <c r="N5" s="0" t="n">
        <f aca="false">((b_d/2)-(0))/dSe</f>
        <v>0.437876299945265</v>
      </c>
      <c r="P5" s="0" t="n">
        <f aca="false">((k_gap/2)-(0))/dSe</f>
        <v>0.0109469074986316</v>
      </c>
      <c r="Q5" s="0" t="n">
        <f aca="false">((b_d/2-b_tf)-(0))/dSe</f>
        <v>0.41160372194855</v>
      </c>
      <c r="S5" s="0" t="n">
        <f aca="false">((k_gap/2)-(0))/dSe</f>
        <v>0.0109469074986316</v>
      </c>
      <c r="T5" s="0" t="n">
        <f aca="false">((-b_d/2+b_tf)-(0))/dSe</f>
        <v>-0.41160372194855</v>
      </c>
      <c r="V5" s="0" t="n">
        <f aca="false">((-dLfp/2)-(0))/dSe</f>
        <v>-0.514504652435687</v>
      </c>
      <c r="W5" s="0" t="n">
        <f aca="false">((b_d/2+pf_to/10)-(0))/dSe</f>
        <v>0.464148877941981</v>
      </c>
      <c r="Y5" s="0" t="n">
        <f aca="false">((-dLfp/2)-(0))/dSe</f>
        <v>-0.514504652435687</v>
      </c>
      <c r="Z5" s="0" t="n">
        <f aca="false">((-b_d/2)-(0))/dSe</f>
        <v>-0.437876299945265</v>
      </c>
      <c r="AB5" s="0" t="n">
        <f aca="false">((-dLfp/2*j_in)-(0))/dSe</f>
        <v>-0.514504652435687</v>
      </c>
      <c r="AC5" s="0" t="n">
        <f aca="false">((b_d/2-b_tf)-(0))/dSe</f>
        <v>0.41160372194855</v>
      </c>
      <c r="AE5" s="0" t="n">
        <f aca="false">((-dLfp/2*j_in)-(0))/dSe</f>
        <v>-0.514504652435687</v>
      </c>
      <c r="AF5" s="0" t="n">
        <f aca="false">((-b_d/2+b_tf+j_in*pf_ti/10)-(0))/dSe</f>
        <v>-0.389709906951286</v>
      </c>
      <c r="AH5" s="0" t="n">
        <f aca="false">((-dLwp/2)-(0))/dSe</f>
        <v>-0.186097427476738</v>
      </c>
      <c r="AI5" s="0" t="n">
        <f aca="false">((pw_h/20)-(0))/dSe</f>
        <v>0.306513409961686</v>
      </c>
      <c r="AK5" s="0" t="n">
        <f aca="false">((-1*(k_gap/2+fa_Leb/10+fa_s/10*MIN(1,fa_n-1)))-(0))/dSe</f>
        <v>-0.262725779967159</v>
      </c>
      <c r="AL5" s="0" t="n">
        <f aca="false">((b_d/2)-(0))/dSe</f>
        <v>0.437876299945265</v>
      </c>
      <c r="AN5" s="0" t="n">
        <f aca="false">((-1*(k_gap/2+wa_Leb/10+wa_sh/10*MIN(0,wa_nc-1)))-(0))/dSe</f>
        <v>-0.0985221674876847</v>
      </c>
      <c r="AO5" s="0" t="n">
        <f aca="false">((-(wa_nr-1)*wa_sv/20+wa_sv/10*MIN(1,wa_nr-1))-(0))/dSe</f>
        <v>0</v>
      </c>
      <c r="AQ5" s="0" t="n">
        <f aca="false">((b_bf/2)-(0))/dSs</f>
        <v>0.385934819897084</v>
      </c>
      <c r="AR5" s="0" t="n">
        <f aca="false">((b_d/2)-(0))/dSs</f>
        <v>0.857632933104631</v>
      </c>
      <c r="AT5" s="0" t="n">
        <f aca="false">((-pf_bo/20)-(0))/dSs</f>
        <v>-0.385934819897084</v>
      </c>
      <c r="AU5" s="0" t="n">
        <f aca="false">((b_d/2+pf_to/10)-(0))/dSs</f>
        <v>0.909090909090909</v>
      </c>
      <c r="AW5" s="0" t="n">
        <f aca="false">((-pf_bo/20)-(0))/dSs</f>
        <v>-0.385934819897084</v>
      </c>
      <c r="AX5" s="0" t="n">
        <f aca="false">((-b_d/2)-(0))/dSs</f>
        <v>-0.857632933104631</v>
      </c>
      <c r="AZ5" s="0" t="n">
        <f aca="false">(((b_bf/2-j_in*pf_bi/10))-(0))/dSs</f>
        <v>0.0857632933104631</v>
      </c>
      <c r="BA5" s="0" t="n">
        <f aca="false">(((b_d/2-b_tf))-(0))/dSs</f>
        <v>0.806174957118353</v>
      </c>
      <c r="BC5" s="0" t="n">
        <f aca="false">(((b_bf/2-j_in*pf_bi/10))-(0))/dSs</f>
        <v>0.0857632933104631</v>
      </c>
      <c r="BD5" s="0" t="n">
        <f aca="false">((-(b_d/2-b_tf))-(0))/dSs</f>
        <v>-0.806174957118353</v>
      </c>
      <c r="BF5" s="0" t="n">
        <f aca="false">((-(b_bf/2-j_in*pf_bi/10))-(0))/dSs</f>
        <v>-0.0857632933104631</v>
      </c>
      <c r="BG5" s="0" t="n">
        <f aca="false">(((b_d/2-b_tf))-(0))/dSs</f>
        <v>0.806174957118353</v>
      </c>
      <c r="BI5" s="0" t="n">
        <f aca="false">((-(b_bf/2-j_in*pf_bi/10))-(0))/dSs</f>
        <v>-0.0857632933104631</v>
      </c>
      <c r="BJ5" s="0" t="n">
        <f aca="false">((-(b_d/2-b_tf))-(0))/dSs</f>
        <v>-0.806174957118353</v>
      </c>
      <c r="BL5" s="0" t="n">
        <f aca="false">((b_tw/2)-(0))/dSs</f>
        <v>0.0128644939965695</v>
      </c>
      <c r="BM5" s="0" t="n">
        <f aca="false">((pw_h/20)-(0))/dSs</f>
        <v>0.600343053173242</v>
      </c>
      <c r="BO5" s="0" t="n">
        <f aca="false">((-b_tw/2-pw_t/10)-(0))/dSs</f>
        <v>-0.0471698113207547</v>
      </c>
      <c r="BP5" s="0" t="n">
        <f aca="false">((pw_h/20)-(0))/dSs</f>
        <v>0.600343053173242</v>
      </c>
      <c r="BR5" s="0" t="n">
        <f aca="false">((fa_g/20)-(0))/dSs</f>
        <v>0.235849056603774</v>
      </c>
      <c r="BS5" s="0" t="n">
        <f aca="false">((b_d/2)-(0))/dSs</f>
        <v>0.857632933104631</v>
      </c>
      <c r="BU5" s="0" t="n">
        <f aca="false">((0)-(0))/dSs</f>
        <v>0</v>
      </c>
      <c r="BV5" s="0" t="n">
        <f aca="false">((-(wa_nr-1)*wa_sv/20+wa_sv/10*MIN(1,wa_nr-1))-(0))/dSs</f>
        <v>0</v>
      </c>
    </row>
    <row r="6" customFormat="false" ht="15" hidden="false" customHeight="false" outlineLevel="0" collapsed="false">
      <c r="A6" s="0" t="s">
        <v>389</v>
      </c>
      <c r="B6" s="0" t="n">
        <f aca="false">MAX(2*dLb,b_d+2*pf_to/10)/2*1.05</f>
        <v>45.675</v>
      </c>
      <c r="D6" s="0" t="n">
        <f aca="false">((-k_gap/2)-(0))/dSe</f>
        <v>-0.0109469074986316</v>
      </c>
      <c r="E6" s="0" t="n">
        <f aca="false">((-b_d/2)-(0))/dSe</f>
        <v>-0.437876299945265</v>
      </c>
      <c r="M6" s="0" t="n">
        <f aca="false">((k_gap/2)-(0))/dSe</f>
        <v>0.0109469074986316</v>
      </c>
      <c r="N6" s="0" t="n">
        <f aca="false">((-b_d/2)-(0))/dSe</f>
        <v>-0.437876299945265</v>
      </c>
      <c r="V6" s="0" t="n">
        <f aca="false">((dLfp/2)-(0))/dSe</f>
        <v>0.514504652435687</v>
      </c>
      <c r="W6" s="0" t="n">
        <f aca="false">((b_d/2+pf_to/10)-(0))/dSe</f>
        <v>0.464148877941981</v>
      </c>
      <c r="Y6" s="0" t="n">
        <f aca="false">((dLfp/2)-(0))/dSe</f>
        <v>0.514504652435687</v>
      </c>
      <c r="Z6" s="0" t="n">
        <f aca="false">((-b_d/2)-(0))/dSe</f>
        <v>-0.437876299945265</v>
      </c>
      <c r="AB6" s="0" t="n">
        <f aca="false">((dLfp/2*j_in)-(0))/dSe</f>
        <v>0.514504652435687</v>
      </c>
      <c r="AC6" s="0" t="n">
        <f aca="false">((b_d/2-b_tf)-(0))/dSe</f>
        <v>0.41160372194855</v>
      </c>
      <c r="AE6" s="0" t="n">
        <f aca="false">((dLfp/2*j_in)-(0))/dSe</f>
        <v>0.514504652435687</v>
      </c>
      <c r="AF6" s="0" t="n">
        <f aca="false">((-b_d/2+b_tf+j_in*pf_ti/10)-(0))/dSe</f>
        <v>-0.389709906951286</v>
      </c>
      <c r="AH6" s="0" t="n">
        <f aca="false">((dLwp/2)-(0))/dSe</f>
        <v>0.186097427476738</v>
      </c>
      <c r="AI6" s="0" t="n">
        <f aca="false">((pw_h/20)-(0))/dSe</f>
        <v>0.306513409961686</v>
      </c>
      <c r="AK6" s="0" t="n">
        <f aca="false">((-1*(k_gap/2+fa_Leb/10+fa_s/10*MIN(2,fa_n-1)))-(0))/dSe</f>
        <v>-0.426929392446634</v>
      </c>
      <c r="AL6" s="0" t="n">
        <f aca="false">((b_d/2)-(0))/dSe</f>
        <v>0.437876299945265</v>
      </c>
      <c r="AN6" s="0" t="n">
        <f aca="false">((-1*(k_gap/2+wa_Leb/10+wa_sh/10*MIN(0,wa_nc-1)))-(0))/dSe</f>
        <v>-0.0985221674876847</v>
      </c>
      <c r="AO6" s="0" t="n">
        <f aca="false">((-(wa_nr-1)*wa_sv/20+wa_sv/10*MIN(2,wa_nr-1))-(0))/dSe</f>
        <v>0.164203612479475</v>
      </c>
      <c r="AQ6" s="0" t="n">
        <f aca="false">((b_bf/2)-(0))/dSs</f>
        <v>0.385934819897084</v>
      </c>
      <c r="AR6" s="0" t="n">
        <f aca="false">((b_d/2-b_tf)-(0))/dSs</f>
        <v>0.806174957118353</v>
      </c>
      <c r="AT6" s="0" t="n">
        <f aca="false">((pf_bo/20)-(0))/dSs</f>
        <v>0.385934819897084</v>
      </c>
      <c r="AU6" s="0" t="n">
        <f aca="false">((b_d/2+pf_to/10)-(0))/dSs</f>
        <v>0.909090909090909</v>
      </c>
      <c r="AW6" s="0" t="n">
        <f aca="false">((pf_bo/20)-(0))/dSs</f>
        <v>0.385934819897084</v>
      </c>
      <c r="AX6" s="0" t="n">
        <f aca="false">((-b_d/2)-(0))/dSs</f>
        <v>-0.857632933104631</v>
      </c>
      <c r="AZ6" s="0" t="n">
        <f aca="false">(((b_bf/2))-(0))/dSs</f>
        <v>0.385934819897084</v>
      </c>
      <c r="BA6" s="0" t="n">
        <f aca="false">(((b_d/2-b_tf))-(0))/dSs</f>
        <v>0.806174957118353</v>
      </c>
      <c r="BC6" s="0" t="n">
        <f aca="false">(((b_bf/2))-(0))/dSs</f>
        <v>0.385934819897084</v>
      </c>
      <c r="BD6" s="0" t="n">
        <f aca="false">((-(b_d/2-b_tf))-(0))/dSs</f>
        <v>-0.806174957118353</v>
      </c>
      <c r="BF6" s="0" t="n">
        <f aca="false">((-(b_bf/2))-(0))/dSs</f>
        <v>-0.385934819897084</v>
      </c>
      <c r="BG6" s="0" t="n">
        <f aca="false">(((b_d/2-b_tf))-(0))/dSs</f>
        <v>0.806174957118353</v>
      </c>
      <c r="BI6" s="0" t="n">
        <f aca="false">((-(b_bf/2))-(0))/dSs</f>
        <v>-0.385934819897084</v>
      </c>
      <c r="BJ6" s="0" t="n">
        <f aca="false">((-(b_d/2-b_tf))-(0))/dSs</f>
        <v>-0.806174957118353</v>
      </c>
      <c r="BL6" s="0" t="n">
        <f aca="false">((b_tw/2+pw_t/10)-(0))/dSs</f>
        <v>0.0471698113207547</v>
      </c>
      <c r="BM6" s="0" t="n">
        <f aca="false">((pw_h/20)-(0))/dSs</f>
        <v>0.600343053173242</v>
      </c>
      <c r="BO6" s="0" t="n">
        <f aca="false">((-b_tw/2)-(0))/dSs</f>
        <v>-0.0128644939965695</v>
      </c>
      <c r="BP6" s="0" t="n">
        <f aca="false">((pw_h/20)-(0))/dSs</f>
        <v>0.600343053173242</v>
      </c>
      <c r="BR6" s="0" t="n">
        <f aca="false">((-fa_g/20)-(0))/dSs</f>
        <v>-0.235849056603774</v>
      </c>
      <c r="BS6" s="0" t="n">
        <f aca="false">((-b_d/2)-(0))/dSs</f>
        <v>-0.857632933104631</v>
      </c>
      <c r="BU6" s="0" t="n">
        <f aca="false">((0)-(0))/dSs</f>
        <v>0</v>
      </c>
      <c r="BV6" s="0" t="n">
        <f aca="false">((-(wa_nr-1)*wa_sv/20+wa_sv/10*MIN(2,wa_nr-1))-(0))/dSs</f>
        <v>0.321612349914237</v>
      </c>
    </row>
    <row r="7" customFormat="false" ht="15" hidden="false" customHeight="false" outlineLevel="0" collapsed="false">
      <c r="A7" s="0" t="s">
        <v>390</v>
      </c>
      <c r="B7" s="0" t="n">
        <f aca="false">MAX(b_bf,pf_bo/10,b_d+2*pf_to/10)/2*1.1</f>
        <v>23.32</v>
      </c>
      <c r="D7" s="0" t="n">
        <f aca="false">((-dLb)-(0))/dSe</f>
        <v>-0.952380952380952</v>
      </c>
      <c r="E7" s="0" t="n">
        <f aca="false">((-b_d/2)-(0))/dSe</f>
        <v>-0.437876299945265</v>
      </c>
      <c r="M7" s="0" t="n">
        <f aca="false">((dLb)-(0))/dSe</f>
        <v>0.952380952380952</v>
      </c>
      <c r="N7" s="0" t="n">
        <f aca="false">((-b_d/2)-(0))/dSe</f>
        <v>-0.437876299945265</v>
      </c>
      <c r="V7" s="0" t="n">
        <f aca="false">((dLfp/2)-(0))/dSe</f>
        <v>0.514504652435687</v>
      </c>
      <c r="W7" s="0" t="n">
        <f aca="false">((b_d/2)-(0))/dSe</f>
        <v>0.437876299945265</v>
      </c>
      <c r="Y7" s="0" t="n">
        <f aca="false">((dLfp/2)-(0))/dSe</f>
        <v>0.514504652435687</v>
      </c>
      <c r="Z7" s="0" t="n">
        <f aca="false">((-b_d/2-pf_to/10)-(0))/dSe</f>
        <v>-0.464148877941981</v>
      </c>
      <c r="AB7" s="0" t="n">
        <f aca="false">((dLfp/2*j_in)-(0))/dSe</f>
        <v>0.514504652435687</v>
      </c>
      <c r="AC7" s="0" t="n">
        <f aca="false">((b_d/2-b_tf-j_in*pf_ti/10)-(0))/dSe</f>
        <v>0.389709906951286</v>
      </c>
      <c r="AE7" s="0" t="n">
        <f aca="false">((dLfp/2*j_in)-(0))/dSe</f>
        <v>0.514504652435687</v>
      </c>
      <c r="AF7" s="0" t="n">
        <f aca="false">((-b_d/2+b_tf)-(0))/dSe</f>
        <v>-0.41160372194855</v>
      </c>
      <c r="AH7" s="0" t="n">
        <f aca="false">((dLwp/2)-(0))/dSe</f>
        <v>0.186097427476738</v>
      </c>
      <c r="AI7" s="0" t="n">
        <f aca="false">((-pw_h/20)-(0))/dSe</f>
        <v>-0.306513409961686</v>
      </c>
      <c r="AK7" s="0" t="n">
        <f aca="false">((-1*(k_gap/2+fa_Leb/10+fa_s/10*MIN(3,fa_n-1)))-(0))/dSe</f>
        <v>-0.426929392446634</v>
      </c>
      <c r="AL7" s="0" t="n">
        <f aca="false">((b_d/2)-(0))/dSe</f>
        <v>0.437876299945265</v>
      </c>
      <c r="AN7" s="0" t="n">
        <f aca="false">((-1*(k_gap/2+wa_Leb/10+wa_sh/10*MIN(0,wa_nc-1)))-(0))/dSe</f>
        <v>-0.0985221674876847</v>
      </c>
      <c r="AO7" s="0" t="n">
        <f aca="false">((-(wa_nr-1)*wa_sv/20+wa_sv/10*MIN(3,wa_nr-1))-(0))/dSe</f>
        <v>0.164203612479475</v>
      </c>
      <c r="AQ7" s="0" t="n">
        <f aca="false">((b_tw/2)-(0))/dSs</f>
        <v>0.0128644939965695</v>
      </c>
      <c r="AR7" s="0" t="n">
        <f aca="false">((b_d/2-b_tf)-(0))/dSs</f>
        <v>0.806174957118353</v>
      </c>
      <c r="AT7" s="0" t="n">
        <f aca="false">((pf_bo/20)-(0))/dSs</f>
        <v>0.385934819897084</v>
      </c>
      <c r="AU7" s="0" t="n">
        <f aca="false">((b_d/2)-(0))/dSs</f>
        <v>0.857632933104631</v>
      </c>
      <c r="AW7" s="0" t="n">
        <f aca="false">((pf_bo/20)-(0))/dSs</f>
        <v>0.385934819897084</v>
      </c>
      <c r="AX7" s="0" t="n">
        <f aca="false">((-b_d/2-pf_to/10)-(0))/dSs</f>
        <v>-0.909090909090909</v>
      </c>
      <c r="AZ7" s="0" t="n">
        <f aca="false">(((b_bf/2))-(0))/dSs</f>
        <v>0.385934819897084</v>
      </c>
      <c r="BA7" s="0" t="n">
        <f aca="false">(((b_d/2-b_tf-j_in*pf_ti/10))-(0))/dSs</f>
        <v>0.763293310463122</v>
      </c>
      <c r="BC7" s="0" t="n">
        <f aca="false">(((b_bf/2))-(0))/dSs</f>
        <v>0.385934819897084</v>
      </c>
      <c r="BD7" s="0" t="n">
        <f aca="false">((-(b_d/2-b_tf-j_in*pf_ti/10))-(0))/dSs</f>
        <v>-0.763293310463122</v>
      </c>
      <c r="BF7" s="0" t="n">
        <f aca="false">((-(b_bf/2))-(0))/dSs</f>
        <v>-0.385934819897084</v>
      </c>
      <c r="BG7" s="0" t="n">
        <f aca="false">(((b_d/2-b_tf-j_in*pf_ti/10))-(0))/dSs</f>
        <v>0.763293310463122</v>
      </c>
      <c r="BI7" s="0" t="n">
        <f aca="false">((-(b_bf/2))-(0))/dSs</f>
        <v>-0.385934819897084</v>
      </c>
      <c r="BJ7" s="0" t="n">
        <f aca="false">((-(b_d/2-b_tf-j_in*pf_ti/10))-(0))/dSs</f>
        <v>-0.763293310463122</v>
      </c>
      <c r="BL7" s="0" t="n">
        <f aca="false">((b_tw/2+pw_t/10)-(0))/dSs</f>
        <v>0.0471698113207547</v>
      </c>
      <c r="BM7" s="0" t="n">
        <f aca="false">((-pw_h/20)-(0))/dSs</f>
        <v>-0.600343053173242</v>
      </c>
      <c r="BO7" s="0" t="n">
        <f aca="false">((-b_tw/2)-(0))/dSs</f>
        <v>-0.0128644939965695</v>
      </c>
      <c r="BP7" s="0" t="n">
        <f aca="false">((-pw_h/20)-(0))/dSs</f>
        <v>-0.600343053173242</v>
      </c>
      <c r="BR7" s="0" t="n">
        <f aca="false">((fa_g/20)-(0))/dSs</f>
        <v>0.235849056603774</v>
      </c>
      <c r="BS7" s="0" t="n">
        <f aca="false">((-b_d/2)-(0))/dSs</f>
        <v>-0.857632933104631</v>
      </c>
      <c r="BU7" s="0" t="n">
        <f aca="false">((0)-(0))/dSs</f>
        <v>0</v>
      </c>
      <c r="BV7" s="0" t="n">
        <f aca="false">((-(wa_nr-1)*wa_sv/20+wa_sv/10*MIN(3,wa_nr-1))-(0))/dSs</f>
        <v>0.321612349914237</v>
      </c>
    </row>
    <row r="8" customFormat="false" ht="15" hidden="false" customHeight="false" outlineLevel="0" collapsed="false">
      <c r="V8" s="0" t="n">
        <f aca="false">((-dLfp/2)-(0))/dSe</f>
        <v>-0.514504652435687</v>
      </c>
      <c r="W8" s="0" t="n">
        <f aca="false">((b_d/2)-(0))/dSe</f>
        <v>0.437876299945265</v>
      </c>
      <c r="Y8" s="0" t="n">
        <f aca="false">((-dLfp/2)-(0))/dSe</f>
        <v>-0.514504652435687</v>
      </c>
      <c r="Z8" s="0" t="n">
        <f aca="false">((-b_d/2-pf_to/10)-(0))/dSe</f>
        <v>-0.464148877941981</v>
      </c>
      <c r="AB8" s="0" t="n">
        <f aca="false">((-dLfp/2*j_in)-(0))/dSe</f>
        <v>-0.514504652435687</v>
      </c>
      <c r="AC8" s="0" t="n">
        <f aca="false">((b_d/2-b_tf-j_in*pf_ti/10)-(0))/dSe</f>
        <v>0.389709906951286</v>
      </c>
      <c r="AE8" s="0" t="n">
        <f aca="false">((-dLfp/2*j_in)-(0))/dSe</f>
        <v>-0.514504652435687</v>
      </c>
      <c r="AF8" s="0" t="n">
        <f aca="false">((-b_d/2+b_tf)-(0))/dSe</f>
        <v>-0.41160372194855</v>
      </c>
      <c r="AH8" s="0" t="n">
        <f aca="false">((-dLwp/2)-(0))/dSe</f>
        <v>-0.186097427476738</v>
      </c>
      <c r="AI8" s="0" t="n">
        <f aca="false">((-pw_h/20)-(0))/dSe</f>
        <v>-0.306513409961686</v>
      </c>
      <c r="AK8" s="0" t="n">
        <f aca="false">((-1*(k_gap/2+fa_Leb/10+fa_s/10*MIN(4,fa_n-1)))-(0))/dSe</f>
        <v>-0.426929392446634</v>
      </c>
      <c r="AL8" s="0" t="n">
        <f aca="false">((b_d/2)-(0))/dSe</f>
        <v>0.437876299945265</v>
      </c>
      <c r="AN8" s="0" t="n">
        <f aca="false">((-1*(k_gap/2+wa_Leb/10+wa_sh/10*MIN(0,wa_nc-1)))-(0))/dSe</f>
        <v>-0.0985221674876847</v>
      </c>
      <c r="AO8" s="0" t="n">
        <f aca="false">((-(wa_nr-1)*wa_sv/20+wa_sv/10*MIN(4,wa_nr-1))-(0))/dSe</f>
        <v>0.164203612479475</v>
      </c>
      <c r="AQ8" s="0" t="n">
        <f aca="false">((b_tw/2)-(0))/dSs</f>
        <v>0.0128644939965695</v>
      </c>
      <c r="AR8" s="0" t="n">
        <f aca="false">((-b_d/2+b_tf)-(0))/dSs</f>
        <v>-0.806174957118353</v>
      </c>
      <c r="AT8" s="0" t="n">
        <f aca="false">((-pf_bo/20)-(0))/dSs</f>
        <v>-0.385934819897084</v>
      </c>
      <c r="AU8" s="0" t="n">
        <f aca="false">((b_d/2)-(0))/dSs</f>
        <v>0.857632933104631</v>
      </c>
      <c r="AW8" s="0" t="n">
        <f aca="false">((-pf_bo/20)-(0))/dSs</f>
        <v>-0.385934819897084</v>
      </c>
      <c r="AX8" s="0" t="n">
        <f aca="false">((-b_d/2-pf_to/10)-(0))/dSs</f>
        <v>-0.909090909090909</v>
      </c>
      <c r="AZ8" s="0" t="n">
        <f aca="false">(((b_bf/2-j_in*pf_bi/10))-(0))/dSs</f>
        <v>0.0857632933104631</v>
      </c>
      <c r="BA8" s="0" t="n">
        <f aca="false">(((b_d/2-b_tf-j_in*pf_ti/10))-(0))/dSs</f>
        <v>0.763293310463122</v>
      </c>
      <c r="BC8" s="0" t="n">
        <f aca="false">(((b_bf/2-j_in*pf_bi/10))-(0))/dSs</f>
        <v>0.0857632933104631</v>
      </c>
      <c r="BD8" s="0" t="n">
        <f aca="false">((-(b_d/2-b_tf-j_in*pf_ti/10))-(0))/dSs</f>
        <v>-0.763293310463122</v>
      </c>
      <c r="BF8" s="0" t="n">
        <f aca="false">((-(b_bf/2-j_in*pf_bi/10))-(0))/dSs</f>
        <v>-0.0857632933104631</v>
      </c>
      <c r="BG8" s="0" t="n">
        <f aca="false">(((b_d/2-b_tf-j_in*pf_ti/10))-(0))/dSs</f>
        <v>0.763293310463122</v>
      </c>
      <c r="BI8" s="0" t="n">
        <f aca="false">((-(b_bf/2-j_in*pf_bi/10))-(0))/dSs</f>
        <v>-0.0857632933104631</v>
      </c>
      <c r="BJ8" s="0" t="n">
        <f aca="false">((-(b_d/2-b_tf-j_in*pf_ti/10))-(0))/dSs</f>
        <v>-0.763293310463122</v>
      </c>
      <c r="BL8" s="0" t="n">
        <f aca="false">((b_tw/2)-(0))/dSs</f>
        <v>0.0128644939965695</v>
      </c>
      <c r="BM8" s="0" t="n">
        <f aca="false">((-pw_h/20)-(0))/dSs</f>
        <v>-0.600343053173242</v>
      </c>
      <c r="BO8" s="0" t="n">
        <f aca="false">((-b_tw/2-pw_t/10)-(0))/dSs</f>
        <v>-0.0471698113207547</v>
      </c>
      <c r="BP8" s="0" t="n">
        <f aca="false">((-pw_h/20)-(0))/dSs</f>
        <v>-0.600343053173242</v>
      </c>
      <c r="BU8" s="0" t="n">
        <f aca="false">((0)-(0))/dSs</f>
        <v>0</v>
      </c>
      <c r="BV8" s="0" t="n">
        <f aca="false">((-(wa_nr-1)*wa_sv/20+wa_sv/10*MIN(4,wa_nr-1))-(0))/dSs</f>
        <v>0.321612349914237</v>
      </c>
    </row>
    <row r="9" customFormat="false" ht="15" hidden="false" customHeight="false" outlineLevel="0" collapsed="false">
      <c r="AK9" s="0" t="n">
        <f aca="false">((-1*(k_gap/2+fa_Leb/10+fa_s/10*MIN(5,fa_n-1)))-(0))/dSe</f>
        <v>-0.426929392446634</v>
      </c>
      <c r="AL9" s="0" t="n">
        <f aca="false">((b_d/2)-(0))/dSe</f>
        <v>0.437876299945265</v>
      </c>
      <c r="AN9" s="0" t="n">
        <f aca="false">((-1*(k_gap/2+wa_Leb/10+wa_sh/10*MIN(0,wa_nc-1)))-(0))/dSe</f>
        <v>-0.0985221674876847</v>
      </c>
      <c r="AO9" s="0" t="n">
        <f aca="false">((-(wa_nr-1)*wa_sv/20+wa_sv/10*MIN(5,wa_nr-1))-(0))/dSe</f>
        <v>0.164203612479475</v>
      </c>
      <c r="AQ9" s="0" t="n">
        <f aca="false">((b_bf/2)-(0))/dSs</f>
        <v>0.385934819897084</v>
      </c>
      <c r="AR9" s="0" t="n">
        <f aca="false">((-b_d/2+b_tf)-(0))/dSs</f>
        <v>-0.806174957118353</v>
      </c>
      <c r="BU9" s="0" t="n">
        <f aca="false">((0)-(0))/dSs</f>
        <v>0</v>
      </c>
      <c r="BV9" s="0" t="n">
        <f aca="false">((-(wa_nr-1)*wa_sv/20+wa_sv/10*MIN(5,wa_nr-1))-(0))/dSs</f>
        <v>0.321612349914237</v>
      </c>
    </row>
    <row r="10" customFormat="false" ht="15" hidden="false" customHeight="false" outlineLevel="0" collapsed="false">
      <c r="AK10" s="0" t="n">
        <f aca="false">((-1*(k_gap/2+fa_Leb/10+fa_s/10*MIN(6,fa_n-1)))-(0))/dSe</f>
        <v>-0.426929392446634</v>
      </c>
      <c r="AL10" s="0" t="n">
        <f aca="false">((b_d/2)-(0))/dSe</f>
        <v>0.437876299945265</v>
      </c>
      <c r="AN10" s="0" t="n">
        <f aca="false">((-1*(k_gap/2+wa_Leb/10+wa_sh/10*MIN(0,wa_nc-1)))-(0))/dSe</f>
        <v>-0.0985221674876847</v>
      </c>
      <c r="AO10" s="0" t="n">
        <f aca="false">((-(wa_nr-1)*wa_sv/20+wa_sv/10*MIN(6,wa_nr-1))-(0))/dSe</f>
        <v>0.164203612479475</v>
      </c>
      <c r="AQ10" s="0" t="n">
        <f aca="false">((b_bf/2)-(0))/dSs</f>
        <v>0.385934819897084</v>
      </c>
      <c r="AR10" s="0" t="n">
        <f aca="false">((-b_d/2)-(0))/dSs</f>
        <v>-0.857632933104631</v>
      </c>
      <c r="BU10" s="0" t="n">
        <f aca="false">((0)-(0))/dSs</f>
        <v>0</v>
      </c>
      <c r="BV10" s="0" t="n">
        <f aca="false">((-(wa_nr-1)*wa_sv/20+wa_sv/10*MIN(6,wa_nr-1))-(0))/dSs</f>
        <v>0.321612349914237</v>
      </c>
    </row>
    <row r="11" customFormat="false" ht="15" hidden="false" customHeight="false" outlineLevel="0" collapsed="false">
      <c r="AK11" s="0" t="n">
        <f aca="false">((-1*(k_gap/2+fa_Leb/10+fa_s/10*MIN(7,fa_n-1)))-(0))/dSe</f>
        <v>-0.426929392446634</v>
      </c>
      <c r="AL11" s="0" t="n">
        <f aca="false">((b_d/2)-(0))/dSe</f>
        <v>0.437876299945265</v>
      </c>
      <c r="AN11" s="0" t="n">
        <f aca="false">((-1*(k_gap/2+wa_Leb/10+wa_sh/10*MIN(0,wa_nc-1)))-(0))/dSe</f>
        <v>-0.0985221674876847</v>
      </c>
      <c r="AO11" s="0" t="n">
        <f aca="false">((-(wa_nr-1)*wa_sv/20+wa_sv/10*MIN(7,wa_nr-1))-(0))/dSe</f>
        <v>0.164203612479475</v>
      </c>
      <c r="AQ11" s="0" t="n">
        <f aca="false">((-b_bf/2)-(0))/dSs</f>
        <v>-0.385934819897084</v>
      </c>
      <c r="AR11" s="0" t="n">
        <f aca="false">((-b_d/2)-(0))/dSs</f>
        <v>-0.857632933104631</v>
      </c>
      <c r="BU11" s="0" t="n">
        <f aca="false">((0)-(0))/dSs</f>
        <v>0</v>
      </c>
      <c r="BV11" s="0" t="n">
        <f aca="false">((-(wa_nr-1)*wa_sv/20+wa_sv/10*MIN(7,wa_nr-1))-(0))/dSs</f>
        <v>0.321612349914237</v>
      </c>
    </row>
    <row r="12" customFormat="false" ht="15" hidden="false" customHeight="false" outlineLevel="0" collapsed="false">
      <c r="AK12" s="0" t="n">
        <f aca="false">((-1*(k_gap/2+fa_Leb/10+fa_s/10*MIN(0,fa_n-1)))-(0))/dSe</f>
        <v>-0.0985221674876847</v>
      </c>
      <c r="AL12" s="0" t="n">
        <f aca="false">((-b_d/2)-(0))/dSe</f>
        <v>-0.437876299945265</v>
      </c>
      <c r="AN12" s="0" t="n">
        <f aca="false">((-1*(k_gap/2+wa_Leb/10+wa_sh/10*MIN(1,wa_nc-1)))-(0))/dSe</f>
        <v>-0.0985221674876847</v>
      </c>
      <c r="AO12" s="0" t="n">
        <f aca="false">((-(wa_nr-1)*wa_sv/20+wa_sv/10*MIN(0,wa_nr-1))-(0))/dSe</f>
        <v>-0.164203612479475</v>
      </c>
      <c r="AQ12" s="0" t="n">
        <f aca="false">((-b_bf/2)-(0))/dSs</f>
        <v>-0.385934819897084</v>
      </c>
      <c r="AR12" s="0" t="n">
        <f aca="false">((-b_d/2+b_tf)-(0))/dSs</f>
        <v>-0.806174957118353</v>
      </c>
    </row>
    <row r="13" customFormat="false" ht="15" hidden="false" customHeight="false" outlineLevel="0" collapsed="false">
      <c r="AK13" s="0" t="n">
        <f aca="false">((-1*(k_gap/2+fa_Leb/10+fa_s/10*MIN(1,fa_n-1)))-(0))/dSe</f>
        <v>-0.262725779967159</v>
      </c>
      <c r="AL13" s="0" t="n">
        <f aca="false">((-b_d/2)-(0))/dSe</f>
        <v>-0.437876299945265</v>
      </c>
      <c r="AN13" s="0" t="n">
        <f aca="false">((-1*(k_gap/2+wa_Leb/10+wa_sh/10*MIN(1,wa_nc-1)))-(0))/dSe</f>
        <v>-0.0985221674876847</v>
      </c>
      <c r="AO13" s="0" t="n">
        <f aca="false">((-(wa_nr-1)*wa_sv/20+wa_sv/10*MIN(1,wa_nr-1))-(0))/dSe</f>
        <v>0</v>
      </c>
      <c r="AQ13" s="0" t="n">
        <f aca="false">((-b_tw/2)-(0))/dSs</f>
        <v>-0.0128644939965695</v>
      </c>
      <c r="AR13" s="0" t="n">
        <f aca="false">((-b_d/2+b_tf)-(0))/dSs</f>
        <v>-0.806174957118353</v>
      </c>
    </row>
    <row r="14" customFormat="false" ht="15" hidden="false" customHeight="false" outlineLevel="0" collapsed="false">
      <c r="AK14" s="0" t="n">
        <f aca="false">((-1*(k_gap/2+fa_Leb/10+fa_s/10*MIN(2,fa_n-1)))-(0))/dSe</f>
        <v>-0.426929392446634</v>
      </c>
      <c r="AL14" s="0" t="n">
        <f aca="false">((-b_d/2)-(0))/dSe</f>
        <v>-0.437876299945265</v>
      </c>
      <c r="AN14" s="0" t="n">
        <f aca="false">((-1*(k_gap/2+wa_Leb/10+wa_sh/10*MIN(1,wa_nc-1)))-(0))/dSe</f>
        <v>-0.0985221674876847</v>
      </c>
      <c r="AO14" s="0" t="n">
        <f aca="false">((-(wa_nr-1)*wa_sv/20+wa_sv/10*MIN(2,wa_nr-1))-(0))/dSe</f>
        <v>0.164203612479475</v>
      </c>
      <c r="AQ14" s="0" t="n">
        <f aca="false">((-b_tw/2)-(0))/dSs</f>
        <v>-0.0128644939965695</v>
      </c>
      <c r="AR14" s="0" t="n">
        <f aca="false">((b_d/2-b_tf)-(0))/dSs</f>
        <v>0.806174957118353</v>
      </c>
    </row>
    <row r="15" customFormat="false" ht="15" hidden="false" customHeight="false" outlineLevel="0" collapsed="false">
      <c r="AK15" s="0" t="n">
        <f aca="false">((-1*(k_gap/2+fa_Leb/10+fa_s/10*MIN(3,fa_n-1)))-(0))/dSe</f>
        <v>-0.426929392446634</v>
      </c>
      <c r="AL15" s="0" t="n">
        <f aca="false">((-b_d/2)-(0))/dSe</f>
        <v>-0.437876299945265</v>
      </c>
      <c r="AN15" s="0" t="n">
        <f aca="false">((-1*(k_gap/2+wa_Leb/10+wa_sh/10*MIN(1,wa_nc-1)))-(0))/dSe</f>
        <v>-0.0985221674876847</v>
      </c>
      <c r="AO15" s="0" t="n">
        <f aca="false">((-(wa_nr-1)*wa_sv/20+wa_sv/10*MIN(3,wa_nr-1))-(0))/dSe</f>
        <v>0.164203612479475</v>
      </c>
      <c r="AQ15" s="0" t="n">
        <f aca="false">((-b_bf/2)-(0))/dSs</f>
        <v>-0.385934819897084</v>
      </c>
      <c r="AR15" s="0" t="n">
        <f aca="false">((b_d/2-b_tf)-(0))/dSs</f>
        <v>0.806174957118353</v>
      </c>
    </row>
    <row r="16" customFormat="false" ht="15" hidden="false" customHeight="false" outlineLevel="0" collapsed="false">
      <c r="AK16" s="0" t="n">
        <f aca="false">((-1*(k_gap/2+fa_Leb/10+fa_s/10*MIN(4,fa_n-1)))-(0))/dSe</f>
        <v>-0.426929392446634</v>
      </c>
      <c r="AL16" s="0" t="n">
        <f aca="false">((-b_d/2)-(0))/dSe</f>
        <v>-0.437876299945265</v>
      </c>
      <c r="AN16" s="0" t="n">
        <f aca="false">((-1*(k_gap/2+wa_Leb/10+wa_sh/10*MIN(1,wa_nc-1)))-(0))/dSe</f>
        <v>-0.0985221674876847</v>
      </c>
      <c r="AO16" s="0" t="n">
        <f aca="false">((-(wa_nr-1)*wa_sv/20+wa_sv/10*MIN(4,wa_nr-1))-(0))/dSe</f>
        <v>0.164203612479475</v>
      </c>
      <c r="AQ16" s="0" t="n">
        <f aca="false">((-b_bf/2)-(0))/dSs</f>
        <v>-0.385934819897084</v>
      </c>
      <c r="AR16" s="0" t="n">
        <f aca="false">((b_d/2)-(0))/dSs</f>
        <v>0.857632933104631</v>
      </c>
    </row>
    <row r="17" customFormat="false" ht="15" hidden="false" customHeight="false" outlineLevel="0" collapsed="false">
      <c r="AK17" s="0" t="n">
        <f aca="false">((-1*(k_gap/2+fa_Leb/10+fa_s/10*MIN(5,fa_n-1)))-(0))/dSe</f>
        <v>-0.426929392446634</v>
      </c>
      <c r="AL17" s="0" t="n">
        <f aca="false">((-b_d/2)-(0))/dSe</f>
        <v>-0.437876299945265</v>
      </c>
      <c r="AN17" s="0" t="n">
        <f aca="false">((-1*(k_gap/2+wa_Leb/10+wa_sh/10*MIN(1,wa_nc-1)))-(0))/dSe</f>
        <v>-0.0985221674876847</v>
      </c>
      <c r="AO17" s="0" t="n">
        <f aca="false">((-(wa_nr-1)*wa_sv/20+wa_sv/10*MIN(5,wa_nr-1))-(0))/dSe</f>
        <v>0.164203612479475</v>
      </c>
    </row>
    <row r="18" customFormat="false" ht="15" hidden="false" customHeight="false" outlineLevel="0" collapsed="false">
      <c r="AK18" s="0" t="n">
        <f aca="false">((-1*(k_gap/2+fa_Leb/10+fa_s/10*MIN(6,fa_n-1)))-(0))/dSe</f>
        <v>-0.426929392446634</v>
      </c>
      <c r="AL18" s="0" t="n">
        <f aca="false">((-b_d/2)-(0))/dSe</f>
        <v>-0.437876299945265</v>
      </c>
      <c r="AN18" s="0" t="n">
        <f aca="false">((-1*(k_gap/2+wa_Leb/10+wa_sh/10*MIN(1,wa_nc-1)))-(0))/dSe</f>
        <v>-0.0985221674876847</v>
      </c>
      <c r="AO18" s="0" t="n">
        <f aca="false">((-(wa_nr-1)*wa_sv/20+wa_sv/10*MIN(6,wa_nr-1))-(0))/dSe</f>
        <v>0.164203612479475</v>
      </c>
    </row>
    <row r="19" customFormat="false" ht="15" hidden="false" customHeight="false" outlineLevel="0" collapsed="false">
      <c r="AK19" s="0" t="n">
        <f aca="false">((-1*(k_gap/2+fa_Leb/10+fa_s/10*MIN(7,fa_n-1)))-(0))/dSe</f>
        <v>-0.426929392446634</v>
      </c>
      <c r="AL19" s="0" t="n">
        <f aca="false">((-b_d/2)-(0))/dSe</f>
        <v>-0.437876299945265</v>
      </c>
      <c r="AN19" s="0" t="n">
        <f aca="false">((-1*(k_gap/2+wa_Leb/10+wa_sh/10*MIN(1,wa_nc-1)))-(0))/dSe</f>
        <v>-0.0985221674876847</v>
      </c>
      <c r="AO19" s="0" t="n">
        <f aca="false">((-(wa_nr-1)*wa_sv/20+wa_sv/10*MIN(7,wa_nr-1))-(0))/dSe</f>
        <v>0.164203612479475</v>
      </c>
    </row>
    <row r="20" customFormat="false" ht="15" hidden="false" customHeight="false" outlineLevel="0" collapsed="false">
      <c r="AK20" s="0" t="n">
        <f aca="false">((1*(k_gap/2+fa_Leb/10+fa_s/10*MIN(0,fa_n-1)))-(0))/dSe</f>
        <v>0.0985221674876847</v>
      </c>
      <c r="AL20" s="0" t="n">
        <f aca="false">((b_d/2)-(0))/dSe</f>
        <v>0.437876299945265</v>
      </c>
      <c r="AN20" s="0" t="n">
        <f aca="false">((-1*(k_gap/2+wa_Leb/10+wa_sh/10*MIN(2,wa_nc-1)))-(0))/dSe</f>
        <v>-0.0985221674876847</v>
      </c>
      <c r="AO20" s="0" t="n">
        <f aca="false">((-(wa_nr-1)*wa_sv/20+wa_sv/10*MIN(0,wa_nr-1))-(0))/dSe</f>
        <v>-0.164203612479475</v>
      </c>
    </row>
    <row r="21" customFormat="false" ht="15" hidden="false" customHeight="false" outlineLevel="0" collapsed="false">
      <c r="AK21" s="0" t="n">
        <f aca="false">((1*(k_gap/2+fa_Leb/10+fa_s/10*MIN(1,fa_n-1)))-(0))/dSe</f>
        <v>0.262725779967159</v>
      </c>
      <c r="AL21" s="0" t="n">
        <f aca="false">((b_d/2)-(0))/dSe</f>
        <v>0.437876299945265</v>
      </c>
      <c r="AN21" s="0" t="n">
        <f aca="false">((-1*(k_gap/2+wa_Leb/10+wa_sh/10*MIN(2,wa_nc-1)))-(0))/dSe</f>
        <v>-0.0985221674876847</v>
      </c>
      <c r="AO21" s="0" t="n">
        <f aca="false">((-(wa_nr-1)*wa_sv/20+wa_sv/10*MIN(1,wa_nr-1))-(0))/dSe</f>
        <v>0</v>
      </c>
    </row>
    <row r="22" customFormat="false" ht="15" hidden="false" customHeight="false" outlineLevel="0" collapsed="false">
      <c r="AK22" s="0" t="n">
        <f aca="false">((1*(k_gap/2+fa_Leb/10+fa_s/10*MIN(2,fa_n-1)))-(0))/dSe</f>
        <v>0.426929392446634</v>
      </c>
      <c r="AL22" s="0" t="n">
        <f aca="false">((b_d/2)-(0))/dSe</f>
        <v>0.437876299945265</v>
      </c>
      <c r="AN22" s="0" t="n">
        <f aca="false">((-1*(k_gap/2+wa_Leb/10+wa_sh/10*MIN(2,wa_nc-1)))-(0))/dSe</f>
        <v>-0.0985221674876847</v>
      </c>
      <c r="AO22" s="0" t="n">
        <f aca="false">((-(wa_nr-1)*wa_sv/20+wa_sv/10*MIN(2,wa_nr-1))-(0))/dSe</f>
        <v>0.164203612479475</v>
      </c>
    </row>
    <row r="23" customFormat="false" ht="15" hidden="false" customHeight="false" outlineLevel="0" collapsed="false">
      <c r="AK23" s="0" t="n">
        <f aca="false">((1*(k_gap/2+fa_Leb/10+fa_s/10*MIN(3,fa_n-1)))-(0))/dSe</f>
        <v>0.426929392446634</v>
      </c>
      <c r="AL23" s="0" t="n">
        <f aca="false">((b_d/2)-(0))/dSe</f>
        <v>0.437876299945265</v>
      </c>
      <c r="AN23" s="0" t="n">
        <f aca="false">((-1*(k_gap/2+wa_Leb/10+wa_sh/10*MIN(2,wa_nc-1)))-(0))/dSe</f>
        <v>-0.0985221674876847</v>
      </c>
      <c r="AO23" s="0" t="n">
        <f aca="false">((-(wa_nr-1)*wa_sv/20+wa_sv/10*MIN(3,wa_nr-1))-(0))/dSe</f>
        <v>0.164203612479475</v>
      </c>
    </row>
    <row r="24" customFormat="false" ht="15" hidden="false" customHeight="false" outlineLevel="0" collapsed="false">
      <c r="AK24" s="0" t="n">
        <f aca="false">((1*(k_gap/2+fa_Leb/10+fa_s/10*MIN(4,fa_n-1)))-(0))/dSe</f>
        <v>0.426929392446634</v>
      </c>
      <c r="AL24" s="0" t="n">
        <f aca="false">((b_d/2)-(0))/dSe</f>
        <v>0.437876299945265</v>
      </c>
      <c r="AN24" s="0" t="n">
        <f aca="false">((-1*(k_gap/2+wa_Leb/10+wa_sh/10*MIN(2,wa_nc-1)))-(0))/dSe</f>
        <v>-0.0985221674876847</v>
      </c>
      <c r="AO24" s="0" t="n">
        <f aca="false">((-(wa_nr-1)*wa_sv/20+wa_sv/10*MIN(4,wa_nr-1))-(0))/dSe</f>
        <v>0.164203612479475</v>
      </c>
    </row>
    <row r="25" customFormat="false" ht="15" hidden="false" customHeight="false" outlineLevel="0" collapsed="false">
      <c r="AK25" s="0" t="n">
        <f aca="false">((1*(k_gap/2+fa_Leb/10+fa_s/10*MIN(5,fa_n-1)))-(0))/dSe</f>
        <v>0.426929392446634</v>
      </c>
      <c r="AL25" s="0" t="n">
        <f aca="false">((b_d/2)-(0))/dSe</f>
        <v>0.437876299945265</v>
      </c>
      <c r="AN25" s="0" t="n">
        <f aca="false">((-1*(k_gap/2+wa_Leb/10+wa_sh/10*MIN(2,wa_nc-1)))-(0))/dSe</f>
        <v>-0.0985221674876847</v>
      </c>
      <c r="AO25" s="0" t="n">
        <f aca="false">((-(wa_nr-1)*wa_sv/20+wa_sv/10*MIN(5,wa_nr-1))-(0))/dSe</f>
        <v>0.164203612479475</v>
      </c>
    </row>
    <row r="26" customFormat="false" ht="15" hidden="false" customHeight="false" outlineLevel="0" collapsed="false">
      <c r="AK26" s="0" t="n">
        <f aca="false">((1*(k_gap/2+fa_Leb/10+fa_s/10*MIN(6,fa_n-1)))-(0))/dSe</f>
        <v>0.426929392446634</v>
      </c>
      <c r="AL26" s="0" t="n">
        <f aca="false">((b_d/2)-(0))/dSe</f>
        <v>0.437876299945265</v>
      </c>
      <c r="AN26" s="0" t="n">
        <f aca="false">((-1*(k_gap/2+wa_Leb/10+wa_sh/10*MIN(2,wa_nc-1)))-(0))/dSe</f>
        <v>-0.0985221674876847</v>
      </c>
      <c r="AO26" s="0" t="n">
        <f aca="false">((-(wa_nr-1)*wa_sv/20+wa_sv/10*MIN(6,wa_nr-1))-(0))/dSe</f>
        <v>0.164203612479475</v>
      </c>
    </row>
    <row r="27" customFormat="false" ht="15" hidden="false" customHeight="false" outlineLevel="0" collapsed="false">
      <c r="AK27" s="0" t="n">
        <f aca="false">((1*(k_gap/2+fa_Leb/10+fa_s/10*MIN(7,fa_n-1)))-(0))/dSe</f>
        <v>0.426929392446634</v>
      </c>
      <c r="AL27" s="0" t="n">
        <f aca="false">((b_d/2)-(0))/dSe</f>
        <v>0.437876299945265</v>
      </c>
      <c r="AN27" s="0" t="n">
        <f aca="false">((-1*(k_gap/2+wa_Leb/10+wa_sh/10*MIN(2,wa_nc-1)))-(0))/dSe</f>
        <v>-0.0985221674876847</v>
      </c>
      <c r="AO27" s="0" t="n">
        <f aca="false">((-(wa_nr-1)*wa_sv/20+wa_sv/10*MIN(7,wa_nr-1))-(0))/dSe</f>
        <v>0.164203612479475</v>
      </c>
    </row>
    <row r="28" customFormat="false" ht="15" hidden="false" customHeight="false" outlineLevel="0" collapsed="false">
      <c r="AK28" s="0" t="n">
        <f aca="false">((1*(k_gap/2+fa_Leb/10+fa_s/10*MIN(0,fa_n-1)))-(0))/dSe</f>
        <v>0.0985221674876847</v>
      </c>
      <c r="AL28" s="0" t="n">
        <f aca="false">((-b_d/2)-(0))/dSe</f>
        <v>-0.437876299945265</v>
      </c>
      <c r="AN28" s="0" t="n">
        <f aca="false">((1*(k_gap/2+wa_Leb/10+wa_sh/10*MIN(0,wa_nc-1)))-(0))/dSe</f>
        <v>0.0985221674876847</v>
      </c>
      <c r="AO28" s="0" t="n">
        <f aca="false">((-(wa_nr-1)*wa_sv/20+wa_sv/10*MIN(0,wa_nr-1))-(0))/dSe</f>
        <v>-0.164203612479475</v>
      </c>
    </row>
    <row r="29" customFormat="false" ht="15" hidden="false" customHeight="false" outlineLevel="0" collapsed="false">
      <c r="AK29" s="0" t="n">
        <f aca="false">((1*(k_gap/2+fa_Leb/10+fa_s/10*MIN(1,fa_n-1)))-(0))/dSe</f>
        <v>0.262725779967159</v>
      </c>
      <c r="AL29" s="0" t="n">
        <f aca="false">((-b_d/2)-(0))/dSe</f>
        <v>-0.437876299945265</v>
      </c>
      <c r="AN29" s="0" t="n">
        <f aca="false">((1*(k_gap/2+wa_Leb/10+wa_sh/10*MIN(0,wa_nc-1)))-(0))/dSe</f>
        <v>0.0985221674876847</v>
      </c>
      <c r="AO29" s="0" t="n">
        <f aca="false">((-(wa_nr-1)*wa_sv/20+wa_sv/10*MIN(1,wa_nr-1))-(0))/dSe</f>
        <v>0</v>
      </c>
    </row>
    <row r="30" customFormat="false" ht="15" hidden="false" customHeight="false" outlineLevel="0" collapsed="false">
      <c r="AK30" s="0" t="n">
        <f aca="false">((1*(k_gap/2+fa_Leb/10+fa_s/10*MIN(2,fa_n-1)))-(0))/dSe</f>
        <v>0.426929392446634</v>
      </c>
      <c r="AL30" s="0" t="n">
        <f aca="false">((-b_d/2)-(0))/dSe</f>
        <v>-0.437876299945265</v>
      </c>
      <c r="AN30" s="0" t="n">
        <f aca="false">((1*(k_gap/2+wa_Leb/10+wa_sh/10*MIN(0,wa_nc-1)))-(0))/dSe</f>
        <v>0.0985221674876847</v>
      </c>
      <c r="AO30" s="0" t="n">
        <f aca="false">((-(wa_nr-1)*wa_sv/20+wa_sv/10*MIN(2,wa_nr-1))-(0))/dSe</f>
        <v>0.164203612479475</v>
      </c>
    </row>
    <row r="31" customFormat="false" ht="15" hidden="false" customHeight="false" outlineLevel="0" collapsed="false">
      <c r="AK31" s="0" t="n">
        <f aca="false">((1*(k_gap/2+fa_Leb/10+fa_s/10*MIN(3,fa_n-1)))-(0))/dSe</f>
        <v>0.426929392446634</v>
      </c>
      <c r="AL31" s="0" t="n">
        <f aca="false">((-b_d/2)-(0))/dSe</f>
        <v>-0.437876299945265</v>
      </c>
      <c r="AN31" s="0" t="n">
        <f aca="false">((1*(k_gap/2+wa_Leb/10+wa_sh/10*MIN(0,wa_nc-1)))-(0))/dSe</f>
        <v>0.0985221674876847</v>
      </c>
      <c r="AO31" s="0" t="n">
        <f aca="false">((-(wa_nr-1)*wa_sv/20+wa_sv/10*MIN(3,wa_nr-1))-(0))/dSe</f>
        <v>0.164203612479475</v>
      </c>
    </row>
    <row r="32" customFormat="false" ht="15" hidden="false" customHeight="false" outlineLevel="0" collapsed="false">
      <c r="AK32" s="0" t="n">
        <f aca="false">((1*(k_gap/2+fa_Leb/10+fa_s/10*MIN(4,fa_n-1)))-(0))/dSe</f>
        <v>0.426929392446634</v>
      </c>
      <c r="AL32" s="0" t="n">
        <f aca="false">((-b_d/2)-(0))/dSe</f>
        <v>-0.437876299945265</v>
      </c>
      <c r="AN32" s="0" t="n">
        <f aca="false">((1*(k_gap/2+wa_Leb/10+wa_sh/10*MIN(0,wa_nc-1)))-(0))/dSe</f>
        <v>0.0985221674876847</v>
      </c>
      <c r="AO32" s="0" t="n">
        <f aca="false">((-(wa_nr-1)*wa_sv/20+wa_sv/10*MIN(4,wa_nr-1))-(0))/dSe</f>
        <v>0.164203612479475</v>
      </c>
    </row>
    <row r="33" customFormat="false" ht="15" hidden="false" customHeight="false" outlineLevel="0" collapsed="false">
      <c r="AK33" s="0" t="n">
        <f aca="false">((1*(k_gap/2+fa_Leb/10+fa_s/10*MIN(5,fa_n-1)))-(0))/dSe</f>
        <v>0.426929392446634</v>
      </c>
      <c r="AL33" s="0" t="n">
        <f aca="false">((-b_d/2)-(0))/dSe</f>
        <v>-0.437876299945265</v>
      </c>
      <c r="AN33" s="0" t="n">
        <f aca="false">((1*(k_gap/2+wa_Leb/10+wa_sh/10*MIN(0,wa_nc-1)))-(0))/dSe</f>
        <v>0.0985221674876847</v>
      </c>
      <c r="AO33" s="0" t="n">
        <f aca="false">((-(wa_nr-1)*wa_sv/20+wa_sv/10*MIN(5,wa_nr-1))-(0))/dSe</f>
        <v>0.164203612479475</v>
      </c>
    </row>
    <row r="34" customFormat="false" ht="15" hidden="false" customHeight="false" outlineLevel="0" collapsed="false">
      <c r="AK34" s="0" t="n">
        <f aca="false">((1*(k_gap/2+fa_Leb/10+fa_s/10*MIN(6,fa_n-1)))-(0))/dSe</f>
        <v>0.426929392446634</v>
      </c>
      <c r="AL34" s="0" t="n">
        <f aca="false">((-b_d/2)-(0))/dSe</f>
        <v>-0.437876299945265</v>
      </c>
      <c r="AN34" s="0" t="n">
        <f aca="false">((1*(k_gap/2+wa_Leb/10+wa_sh/10*MIN(0,wa_nc-1)))-(0))/dSe</f>
        <v>0.0985221674876847</v>
      </c>
      <c r="AO34" s="0" t="n">
        <f aca="false">((-(wa_nr-1)*wa_sv/20+wa_sv/10*MIN(6,wa_nr-1))-(0))/dSe</f>
        <v>0.164203612479475</v>
      </c>
    </row>
    <row r="35" customFormat="false" ht="15" hidden="false" customHeight="false" outlineLevel="0" collapsed="false">
      <c r="AK35" s="0" t="n">
        <f aca="false">((1*(k_gap/2+fa_Leb/10+fa_s/10*MIN(7,fa_n-1)))-(0))/dSe</f>
        <v>0.426929392446634</v>
      </c>
      <c r="AL35" s="0" t="n">
        <f aca="false">((-b_d/2)-(0))/dSe</f>
        <v>-0.437876299945265</v>
      </c>
      <c r="AN35" s="0" t="n">
        <f aca="false">((1*(k_gap/2+wa_Leb/10+wa_sh/10*MIN(0,wa_nc-1)))-(0))/dSe</f>
        <v>0.0985221674876847</v>
      </c>
      <c r="AO35" s="0" t="n">
        <f aca="false">((-(wa_nr-1)*wa_sv/20+wa_sv/10*MIN(7,wa_nr-1))-(0))/dSe</f>
        <v>0.164203612479475</v>
      </c>
    </row>
    <row r="36" customFormat="false" ht="15" hidden="false" customHeight="false" outlineLevel="0" collapsed="false">
      <c r="AN36" s="0" t="n">
        <f aca="false">((1*(k_gap/2+wa_Leb/10+wa_sh/10*MIN(1,wa_nc-1)))-(0))/dSe</f>
        <v>0.0985221674876847</v>
      </c>
      <c r="AO36" s="0" t="n">
        <f aca="false">((-(wa_nr-1)*wa_sv/20+wa_sv/10*MIN(0,wa_nr-1))-(0))/dSe</f>
        <v>-0.164203612479475</v>
      </c>
    </row>
    <row r="37" customFormat="false" ht="15" hidden="false" customHeight="false" outlineLevel="0" collapsed="false">
      <c r="AN37" s="0" t="n">
        <f aca="false">((1*(k_gap/2+wa_Leb/10+wa_sh/10*MIN(1,wa_nc-1)))-(0))/dSe</f>
        <v>0.0985221674876847</v>
      </c>
      <c r="AO37" s="0" t="n">
        <f aca="false">((-(wa_nr-1)*wa_sv/20+wa_sv/10*MIN(1,wa_nr-1))-(0))/dSe</f>
        <v>0</v>
      </c>
    </row>
    <row r="38" customFormat="false" ht="15" hidden="false" customHeight="false" outlineLevel="0" collapsed="false">
      <c r="AN38" s="0" t="n">
        <f aca="false">((1*(k_gap/2+wa_Leb/10+wa_sh/10*MIN(1,wa_nc-1)))-(0))/dSe</f>
        <v>0.0985221674876847</v>
      </c>
      <c r="AO38" s="0" t="n">
        <f aca="false">((-(wa_nr-1)*wa_sv/20+wa_sv/10*MIN(2,wa_nr-1))-(0))/dSe</f>
        <v>0.164203612479475</v>
      </c>
    </row>
    <row r="39" customFormat="false" ht="15" hidden="false" customHeight="false" outlineLevel="0" collapsed="false">
      <c r="AN39" s="0" t="n">
        <f aca="false">((1*(k_gap/2+wa_Leb/10+wa_sh/10*MIN(1,wa_nc-1)))-(0))/dSe</f>
        <v>0.0985221674876847</v>
      </c>
      <c r="AO39" s="0" t="n">
        <f aca="false">((-(wa_nr-1)*wa_sv/20+wa_sv/10*MIN(3,wa_nr-1))-(0))/dSe</f>
        <v>0.164203612479475</v>
      </c>
    </row>
    <row r="40" customFormat="false" ht="15" hidden="false" customHeight="false" outlineLevel="0" collapsed="false">
      <c r="AN40" s="0" t="n">
        <f aca="false">((1*(k_gap/2+wa_Leb/10+wa_sh/10*MIN(1,wa_nc-1)))-(0))/dSe</f>
        <v>0.0985221674876847</v>
      </c>
      <c r="AO40" s="0" t="n">
        <f aca="false">((-(wa_nr-1)*wa_sv/20+wa_sv/10*MIN(4,wa_nr-1))-(0))/dSe</f>
        <v>0.164203612479475</v>
      </c>
    </row>
    <row r="41" customFormat="false" ht="15" hidden="false" customHeight="false" outlineLevel="0" collapsed="false">
      <c r="AN41" s="0" t="n">
        <f aca="false">((1*(k_gap/2+wa_Leb/10+wa_sh/10*MIN(1,wa_nc-1)))-(0))/dSe</f>
        <v>0.0985221674876847</v>
      </c>
      <c r="AO41" s="0" t="n">
        <f aca="false">((-(wa_nr-1)*wa_sv/20+wa_sv/10*MIN(5,wa_nr-1))-(0))/dSe</f>
        <v>0.164203612479475</v>
      </c>
    </row>
    <row r="42" customFormat="false" ht="15" hidden="false" customHeight="false" outlineLevel="0" collapsed="false">
      <c r="AN42" s="0" t="n">
        <f aca="false">((1*(k_gap/2+wa_Leb/10+wa_sh/10*MIN(1,wa_nc-1)))-(0))/dSe</f>
        <v>0.0985221674876847</v>
      </c>
      <c r="AO42" s="0" t="n">
        <f aca="false">((-(wa_nr-1)*wa_sv/20+wa_sv/10*MIN(6,wa_nr-1))-(0))/dSe</f>
        <v>0.164203612479475</v>
      </c>
    </row>
    <row r="43" customFormat="false" ht="15" hidden="false" customHeight="false" outlineLevel="0" collapsed="false">
      <c r="AN43" s="0" t="n">
        <f aca="false">((1*(k_gap/2+wa_Leb/10+wa_sh/10*MIN(1,wa_nc-1)))-(0))/dSe</f>
        <v>0.0985221674876847</v>
      </c>
      <c r="AO43" s="0" t="n">
        <f aca="false">((-(wa_nr-1)*wa_sv/20+wa_sv/10*MIN(7,wa_nr-1))-(0))/dSe</f>
        <v>0.164203612479475</v>
      </c>
    </row>
    <row r="44" customFormat="false" ht="15" hidden="false" customHeight="false" outlineLevel="0" collapsed="false">
      <c r="AN44" s="0" t="n">
        <f aca="false">((1*(k_gap/2+wa_Leb/10+wa_sh/10*MIN(2,wa_nc-1)))-(0))/dSe</f>
        <v>0.0985221674876847</v>
      </c>
      <c r="AO44" s="0" t="n">
        <f aca="false">((-(wa_nr-1)*wa_sv/20+wa_sv/10*MIN(0,wa_nr-1))-(0))/dSe</f>
        <v>-0.164203612479475</v>
      </c>
    </row>
    <row r="45" customFormat="false" ht="15" hidden="false" customHeight="false" outlineLevel="0" collapsed="false">
      <c r="AN45" s="0" t="n">
        <f aca="false">((1*(k_gap/2+wa_Leb/10+wa_sh/10*MIN(2,wa_nc-1)))-(0))/dSe</f>
        <v>0.0985221674876847</v>
      </c>
      <c r="AO45" s="0" t="n">
        <f aca="false">((-(wa_nr-1)*wa_sv/20+wa_sv/10*MIN(1,wa_nr-1))-(0))/dSe</f>
        <v>0</v>
      </c>
    </row>
    <row r="46" customFormat="false" ht="15" hidden="false" customHeight="false" outlineLevel="0" collapsed="false">
      <c r="AN46" s="0" t="n">
        <f aca="false">((1*(k_gap/2+wa_Leb/10+wa_sh/10*MIN(2,wa_nc-1)))-(0))/dSe</f>
        <v>0.0985221674876847</v>
      </c>
      <c r="AO46" s="0" t="n">
        <f aca="false">((-(wa_nr-1)*wa_sv/20+wa_sv/10*MIN(2,wa_nr-1))-(0))/dSe</f>
        <v>0.164203612479475</v>
      </c>
    </row>
    <row r="47" customFormat="false" ht="15" hidden="false" customHeight="false" outlineLevel="0" collapsed="false">
      <c r="AN47" s="0" t="n">
        <f aca="false">((1*(k_gap/2+wa_Leb/10+wa_sh/10*MIN(2,wa_nc-1)))-(0))/dSe</f>
        <v>0.0985221674876847</v>
      </c>
      <c r="AO47" s="0" t="n">
        <f aca="false">((-(wa_nr-1)*wa_sv/20+wa_sv/10*MIN(3,wa_nr-1))-(0))/dSe</f>
        <v>0.164203612479475</v>
      </c>
    </row>
    <row r="48" customFormat="false" ht="15" hidden="false" customHeight="false" outlineLevel="0" collapsed="false">
      <c r="AN48" s="0" t="n">
        <f aca="false">((1*(k_gap/2+wa_Leb/10+wa_sh/10*MIN(2,wa_nc-1)))-(0))/dSe</f>
        <v>0.0985221674876847</v>
      </c>
      <c r="AO48" s="0" t="n">
        <f aca="false">((-(wa_nr-1)*wa_sv/20+wa_sv/10*MIN(4,wa_nr-1))-(0))/dSe</f>
        <v>0.164203612479475</v>
      </c>
    </row>
    <row r="49" customFormat="false" ht="15" hidden="false" customHeight="false" outlineLevel="0" collapsed="false">
      <c r="AN49" s="0" t="n">
        <f aca="false">((1*(k_gap/2+wa_Leb/10+wa_sh/10*MIN(2,wa_nc-1)))-(0))/dSe</f>
        <v>0.0985221674876847</v>
      </c>
      <c r="AO49" s="0" t="n">
        <f aca="false">((-(wa_nr-1)*wa_sv/20+wa_sv/10*MIN(5,wa_nr-1))-(0))/dSe</f>
        <v>0.164203612479475</v>
      </c>
    </row>
    <row r="50" customFormat="false" ht="15" hidden="false" customHeight="false" outlineLevel="0" collapsed="false">
      <c r="AN50" s="0" t="n">
        <f aca="false">((1*(k_gap/2+wa_Leb/10+wa_sh/10*MIN(2,wa_nc-1)))-(0))/dSe</f>
        <v>0.0985221674876847</v>
      </c>
      <c r="AO50" s="0" t="n">
        <f aca="false">((-(wa_nr-1)*wa_sv/20+wa_sv/10*MIN(6,wa_nr-1))-(0))/dSe</f>
        <v>0.164203612479475</v>
      </c>
    </row>
    <row r="51" customFormat="false" ht="15" hidden="false" customHeight="false" outlineLevel="0" collapsed="false">
      <c r="AN51" s="0" t="n">
        <f aca="false">((1*(k_gap/2+wa_Leb/10+wa_sh/10*MIN(2,wa_nc-1)))-(0))/dSe</f>
        <v>0.0985221674876847</v>
      </c>
      <c r="AO51" s="0" t="n">
        <f aca="false">((-(wa_nr-1)*wa_sv/20+wa_sv/10*MIN(7,wa_nr-1))-(0))/dSe</f>
        <v>0.164203612479475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2026-09-26T05:27:21Z</dcterms:created>
  <dc:creator>openpyxl</dc:creator>
  <dc:description/>
  <dc:language>en-US</dc:language>
  <cp:lastModifiedBy/>
  <dcterms:modified xsi:type="dcterms:W3CDTF">2026-09-26T05:27:23Z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