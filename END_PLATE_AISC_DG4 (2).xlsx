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EÑO" sheetId="1" state="visible" r:id="rId3"/>
    <sheet name="CALCULO" sheetId="2" state="visible" r:id="rId4"/>
    <sheet name="CATALOGOS" sheetId="3" state="visible" r:id="rId5"/>
    <sheet name="DIBUJO" sheetId="4" state="visible" r:id="rId6"/>
  </sheets>
  <definedNames>
    <definedName function="false" hidden="false" localSheetId="0" name="_xlnm.Print_Area" vbProcedure="false">DISEÑO!$A$1:$U$66</definedName>
    <definedName function="false" hidden="false" name="cb_M" vbProcedure="false">DISEÑO!$H$23:$H$32</definedName>
    <definedName function="false" hidden="false" name="cb_nom" vbProcedure="false">DISEÑO!$G$23:$G$32</definedName>
    <definedName function="false" hidden="false" name="cb_V" vbProcedure="false">DISEÑO!$I$23:$I$32</definedName>
    <definedName function="false" hidden="false" name="cfg" vbProcedure="false">DISEÑO!$C$11</definedName>
    <definedName function="false" hidden="false" name="co_acero" vbProcedure="false">DISEÑO!$C$29</definedName>
    <definedName function="false" hidden="false" name="co_bf_mm" vbProcedure="false">DISEÑO!$C$26</definedName>
    <definedName function="false" hidden="false" name="co_dtop" vbProcedure="false">DISEÑO!$C$33</definedName>
    <definedName function="false" hidden="false" name="co_d_mm" vbProcedure="false">DISEÑO!$C$25</definedName>
    <definedName function="false" hidden="false" name="co_Fu" vbProcedure="false">DISEÑO!$C$31</definedName>
    <definedName function="false" hidden="false" name="co_Fy" vbProcedure="false">DISEÑO!$C$30</definedName>
    <definedName function="false" hidden="false" name="co_kw" vbProcedure="false">DISEÑO!$C$32</definedName>
    <definedName function="false" hidden="false" name="co_perfil" vbProcedure="false">DISEÑO!$C$24</definedName>
    <definedName function="false" hidden="false" name="co_tf_mm" vbProcedure="false">DISEÑO!$C$28</definedName>
    <definedName function="false" hidden="false" name="co_tw_mm" vbProcedure="false">DISEÑO!$C$27</definedName>
    <definedName function="false" hidden="false" name="cp_b" vbProcedure="false">DISEÑO!$C$39</definedName>
    <definedName function="false" hidden="false" name="cp_t" vbProcedure="false">DISEÑO!$C$38</definedName>
    <definedName function="false" hidden="false" name="cp_usar" vbProcedure="false">DISEÑO!$C$37</definedName>
    <definedName function="false" hidden="false" name="det_k" vbProcedure="false">DISEÑO!$K$36</definedName>
    <definedName function="false" hidden="false" name="dHc" vbProcedure="false">DIBUJO!$B$7</definedName>
    <definedName function="false" hidden="false" name="dLb" vbProcedure="false">DIBUJO!$B$4</definedName>
    <definedName function="false" hidden="false" name="dos_lados" vbProcedure="false">DISEÑO!$C$34</definedName>
    <definedName function="false" hidden="false" name="dSf" vbProcedure="false">DIBUJO!$B$3</definedName>
    <definedName function="false" hidden="false" name="dSl" vbProcedure="false">DIBUJO!$B$6</definedName>
    <definedName function="false" hidden="false" name="dxc" vbProcedure="false">DIBUJO!$B$5</definedName>
    <definedName function="false" hidden="false" name="k_Ab" vbProcedure="false">CALCULO!$D$32</definedName>
    <definedName function="false" hidden="false" name="k_An" vbProcedure="false">CALCULO!$D$51</definedName>
    <definedName function="false" hidden="false" name="k_bf" vbProcedure="false">CALCULO!$D$10</definedName>
    <definedName function="false" hidden="false" name="k_bp" vbProcedure="false">CALCULO!$D$21</definedName>
    <definedName function="false" hidden="false" name="k_bpe" vbProcedure="false">CALCULO!$D$22</definedName>
    <definedName function="false" hidden="false" name="k_c" vbProcedure="false">CALCULO!$D$72</definedName>
    <definedName function="false" hidden="false" name="k_cA" vbProcedure="false">CALCULO!$D$18</definedName>
    <definedName function="false" hidden="false" name="k_cbf" vbProcedure="false">CALCULO!$D$15</definedName>
    <definedName function="false" hidden="false" name="k_cd" vbProcedure="false">CALCULO!$D$14</definedName>
    <definedName function="false" hidden="false" name="k_ch" vbProcedure="false">CALCULO!$D$20</definedName>
    <definedName function="false" hidden="false" name="k_ck" vbProcedure="false">CALCULO!$D$19</definedName>
    <definedName function="false" hidden="false" name="k_Cpr" vbProcedure="false">CALCULO!$D$89</definedName>
    <definedName function="false" hidden="false" name="k_Ct" vbProcedure="false">CALCULO!$D$80</definedName>
    <definedName function="false" hidden="false" name="k_ctf" vbProcedure="false">CALCULO!$D$17</definedName>
    <definedName function="false" hidden="false" name="k_ctw" vbProcedure="false">CALCULO!$D$16</definedName>
    <definedName function="false" hidden="false" name="k_d" vbProcedure="false">CALCULO!$D$9</definedName>
    <definedName function="false" hidden="false" name="k_db" vbProcedure="false">CALCULO!$D$31</definedName>
    <definedName function="false" hidden="false" name="k_dbi" vbProcedure="false">CALCULO!$D$30</definedName>
    <definedName function="false" hidden="false" name="k_de" vbProcedure="false">CALCULO!$D$28</definedName>
    <definedName function="false" hidden="false" name="k_dh" vbProcedure="false">CALCULO!$D$33</definedName>
    <definedName function="false" hidden="false" name="k_E" vbProcedure="false">CALCULO!$D$8</definedName>
    <definedName function="false" hidden="false" name="k_emin" vbProcedure="false">CALCULO!$D$34</definedName>
    <definedName function="false" hidden="false" name="k_FEXX" vbProcedure="false">CALCULO!$D$65</definedName>
    <definedName function="false" hidden="false" name="k_g" vbProcedure="false">CALCULO!$D$24</definedName>
    <definedName function="false" hidden="false" name="k_Hp" vbProcedure="false">CALCULO!$D$29</definedName>
    <definedName function="false" hidden="false" name="k_hst" vbProcedure="false">CALCULO!$D$59</definedName>
    <definedName function="false" hidden="false" name="k_hts" vbProcedure="false">CALCULO!$D$62</definedName>
    <definedName function="false" hidden="false" name="k_htsl" vbProcedure="false">CALCULO!$D$63</definedName>
    <definedName function="false" hidden="false" name="k_is4E" vbProcedure="false">CALCULO!$D$7</definedName>
    <definedName function="false" hidden="false" name="k_is8" vbProcedure="false">CALCULO!$D$6</definedName>
    <definedName function="false" hidden="false" name="k_Lci" vbProcedure="false">CALCULO!$D$56</definedName>
    <definedName function="false" hidden="false" name="k_Lco" vbProcedure="false">CALCULO!$D$55</definedName>
    <definedName function="false" hidden="false" name="k_Lh" vbProcedure="false">CALCULO!$D$92</definedName>
    <definedName function="false" hidden="false" name="k_Lst" vbProcedure="false">CALCULO!$D$60</definedName>
    <definedName function="false" hidden="false" name="k_Mf" vbProcedure="false">CALCULO!$D$94</definedName>
    <definedName function="false" hidden="false" name="k_Mnp" vbProcedure="false">CALCULO!$D$44</definedName>
    <definedName function="false" hidden="false" name="k_Mpe" vbProcedure="false">CALCULO!$D$90</definedName>
    <definedName function="false" hidden="false" name="k_nb" vbProcedure="false">CALCULO!$D$35</definedName>
    <definedName function="false" hidden="false" name="k_Nc" vbProcedure="false">CALCULO!$D$82</definedName>
    <definedName function="false" hidden="false" name="k_pb" vbProcedure="false">CALCULO!$D$27</definedName>
    <definedName function="false" hidden="false" name="k_pfi" vbProcedure="false">CALCULO!$D$26</definedName>
    <definedName function="false" hidden="false" name="k_pfie" vbProcedure="false">CALCULO!$D$48</definedName>
    <definedName function="false" hidden="false" name="k_pfo" vbProcedure="false">CALCULO!$D$25</definedName>
    <definedName function="false" hidden="false" name="k_phiMcf" vbProcedure="false">CALCULO!$D$78</definedName>
    <definedName function="false" hidden="false" name="k_phiMpl" vbProcedure="false">CALCULO!$D$50</definedName>
    <definedName function="false" hidden="false" name="k_phin" vbProcedure="false">CALCULO!$D$45</definedName>
    <definedName function="false" hidden="false" name="k_phiy" vbProcedure="false">CALCULO!$D$46</definedName>
    <definedName function="false" hidden="false" name="k_psi" vbProcedure="false">CALCULO!$D$74</definedName>
    <definedName function="false" hidden="false" name="k_pso" vbProcedure="false">CALCULO!$D$73</definedName>
    <definedName function="false" hidden="false" name="k_Pt" vbProcedure="false">CALCULO!$D$43</definedName>
    <definedName function="false" hidden="false" name="k_Py" vbProcedure="false">CALCULO!$D$86</definedName>
    <definedName function="false" hidden="false" name="k_r1" vbProcedure="false">CALCULO!$D$37</definedName>
    <definedName function="false" hidden="false" name="k_r2" vbProcedure="false">CALCULO!$D$38</definedName>
    <definedName function="false" hidden="false" name="k_r3" vbProcedure="false">CALCULO!$D$39</definedName>
    <definedName function="false" hidden="false" name="k_r4" vbProcedure="false">CALCULO!$D$40</definedName>
    <definedName function="false" hidden="false" name="k_Rbc" vbProcedure="false">CALCULO!$D$58</definedName>
    <definedName function="false" hidden="false" name="k_Rbp" vbProcedure="false">CALCULO!$D$57</definedName>
    <definedName function="false" hidden="false" name="k_rc" vbProcedure="false">CALCULO!$D$96</definedName>
    <definedName function="false" hidden="false" name="k_Rcfe" vbProcedure="false">CALCULO!$D$79</definedName>
    <definedName function="false" hidden="false" name="k_Rcp" vbProcedure="false">CALCULO!$D$85</definedName>
    <definedName function="false" hidden="false" name="k_rg0" vbProcedure="false">CALCULO!$D$97</definedName>
    <definedName function="false" hidden="false" name="k_rg1" vbProcedure="false">CALCULO!$D$98</definedName>
    <definedName function="false" hidden="false" name="k_rg2" vbProcedure="false">CALCULO!$D$99</definedName>
    <definedName function="false" hidden="false" name="k_rg3" vbProcedure="false">CALCULO!$D$100</definedName>
    <definedName function="false" hidden="false" name="k_rg4" vbProcedure="false">CALCULO!$D$101</definedName>
    <definedName function="false" hidden="false" name="k_rg5" vbProcedure="false">CALCULO!$D$102</definedName>
    <definedName function="false" hidden="false" name="k_rg6" vbProcedure="false">CALCULO!$D$103</definedName>
    <definedName function="false" hidden="false" name="k_rg7" vbProcedure="false">CALCULO!$D$104</definedName>
    <definedName function="false" hidden="false" name="k_rg8" vbProcedure="false">CALCULO!$D$105</definedName>
    <definedName function="false" hidden="false" name="k_rgn" vbProcedure="false">CALCULO!$D$106</definedName>
    <definedName function="false" hidden="false" name="k_Rpz" vbProcedure="false">CALCULO!$D$87</definedName>
    <definedName function="false" hidden="false" name="k_Rsr" vbProcedure="false">CALCULO!$D$53</definedName>
    <definedName function="false" hidden="false" name="k_Rsy" vbProcedure="false">CALCULO!$D$52</definedName>
    <definedName function="false" hidden="false" name="k_Rvb" vbProcedure="false">CALCULO!$D$54</definedName>
    <definedName function="false" hidden="false" name="k_Rwb" vbProcedure="false">CALCULO!$D$84</definedName>
    <definedName function="false" hidden="false" name="k_Rwc" vbProcedure="false">CALCULO!$D$83</definedName>
    <definedName function="false" hidden="false" name="k_Rwf" vbProcedure="false">CALCULO!$D$66</definedName>
    <definedName function="false" hidden="false" name="k_Rwv" vbProcedure="false">CALCULO!$D$69</definedName>
    <definedName function="false" hidden="false" name="k_Rwy" vbProcedure="false">CALCULO!$D$81</definedName>
    <definedName function="false" hidden="false" name="k_s" vbProcedure="false">CALCULO!$D$47</definedName>
    <definedName function="false" hidden="false" name="k_sc" vbProcedure="false">CALCULO!$D$71</definedName>
    <definedName function="false" hidden="false" name="k_seis" vbProcedure="false">CALCULO!$D$5</definedName>
    <definedName function="false" hidden="false" name="k_sh" vbProcedure="false">CALCULO!$D$41</definedName>
    <definedName function="false" hidden="false" name="k_Shr" vbProcedure="false">CALCULO!$D$91</definedName>
    <definedName function="false" hidden="false" name="k_tf" vbProcedure="false">CALCULO!$D$12</definedName>
    <definedName function="false" hidden="false" name="k_tp" vbProcedure="false">CALCULO!$D$23</definedName>
    <definedName function="false" hidden="false" name="k_tsr" vbProcedure="false">CALCULO!$D$61</definedName>
    <definedName function="false" hidden="false" name="k_tw" vbProcedure="false">CALCULO!$D$11</definedName>
    <definedName function="false" hidden="false" name="k_Vus" vbProcedure="false">CALCULO!$D$93</definedName>
    <definedName function="false" hidden="false" name="k_wtC" vbProcedure="false">CALCULO!$D$68</definedName>
    <definedName function="false" hidden="false" name="k_wtD" vbProcedure="false">CALCULO!$D$67</definedName>
    <definedName function="false" hidden="false" name="k_Yc" vbProcedure="false">CALCULO!$D$77</definedName>
    <definedName function="false" hidden="false" name="k_Ycs" vbProcedure="false">CALCULO!$D$76</definedName>
    <definedName function="false" hidden="false" name="k_Ycu" vbProcedure="false">CALCULO!$D$75</definedName>
    <definedName function="false" hidden="false" name="k_Yp" vbProcedure="false">CALCULO!$D$49</definedName>
    <definedName function="false" hidden="false" name="k_Zx" vbProcedure="false">CALCULO!$D$13</definedName>
    <definedName function="false" hidden="false" name="lim_verde" vbProcedure="false">DISEÑO!$C$9</definedName>
    <definedName function="false" hidden="false" name="modo" vbProcedure="false">DISEÑO!$C$12</definedName>
    <definedName function="false" hidden="false" name="Mu_op" vbProcedure="false">DISEÑO!$C$35</definedName>
    <definedName function="false" hidden="false" name="pl_acero" vbProcedure="false">DISEÑO!$C$41</definedName>
    <definedName function="false" hidden="false" name="pl_bp" vbProcedure="false">DISEÑO!$C$44</definedName>
    <definedName function="false" hidden="false" name="pl_de" vbProcedure="false">DISEÑO!$C$50</definedName>
    <definedName function="false" hidden="false" name="pl_Fu" vbProcedure="false">DISEÑO!$C$43</definedName>
    <definedName function="false" hidden="false" name="pl_Fy" vbProcedure="false">DISEÑO!$C$42</definedName>
    <definedName function="false" hidden="false" name="pl_g" vbProcedure="false">DISEÑO!$C$46</definedName>
    <definedName function="false" hidden="false" name="pl_pb" vbProcedure="false">DISEÑO!$C$49</definedName>
    <definedName function="false" hidden="false" name="pl_pfi" vbProcedure="false">DISEÑO!$C$48</definedName>
    <definedName function="false" hidden="false" name="pl_pfo" vbProcedure="false">DISEÑO!$C$47</definedName>
    <definedName function="false" hidden="false" name="pl_tp" vbProcedure="false">DISEÑO!$C$45</definedName>
    <definedName function="false" hidden="false" name="pn_diam" vbProcedure="false">DISEÑO!$C$55</definedName>
    <definedName function="false" hidden="false" name="pn_Fnt" vbProcedure="false">DISEÑO!$C$53</definedName>
    <definedName function="false" hidden="false" name="pn_Fnv" vbProcedure="false">DISEÑO!$C$54</definedName>
    <definedName function="false" hidden="false" name="pn_grado" vbProcedure="false">DISEÑO!$C$52</definedName>
    <definedName function="false" hidden="false" name="Pu_col" vbProcedure="false">DISEÑO!$C$36</definedName>
    <definedName function="false" hidden="false" name="sd_elec" vbProcedure="false">DISEÑO!$C$61</definedName>
    <definedName function="false" hidden="false" name="sd_wf" vbProcedure="false">DISEÑO!$C$62</definedName>
    <definedName function="false" hidden="false" name="sd_ww" vbProcedure="false">DISEÑO!$C$63</definedName>
    <definedName function="false" hidden="false" name="sis_L" vbProcedure="false">DISEÑO!$C$65</definedName>
    <definedName function="false" hidden="false" name="sis_Vg" vbProcedure="false">DISEÑO!$C$66</definedName>
    <definedName function="false" hidden="false" name="st_acero" vbProcedure="false">DISEÑO!$C$58</definedName>
    <definedName function="false" hidden="false" name="st_Fy" vbProcedure="false">DISEÑO!$C$59</definedName>
    <definedName function="false" hidden="false" name="st_t" vbProcedure="false">DISEÑO!$C$57</definedName>
    <definedName function="false" hidden="false" name="vg_acero" vbProcedure="false">DISEÑO!$C$19</definedName>
    <definedName function="false" hidden="false" name="vg_bf_mm" vbProcedure="false">DISEÑO!$C$16</definedName>
    <definedName function="false" hidden="false" name="vg_d_mm" vbProcedure="false">DISEÑO!$C$15</definedName>
    <definedName function="false" hidden="false" name="vg_Fu" vbProcedure="false">DISEÑO!$C$21</definedName>
    <definedName function="false" hidden="false" name="vg_Fy" vbProcedure="false">DISEÑO!$C$20</definedName>
    <definedName function="false" hidden="false" name="vg_perfil" vbProcedure="false">DISEÑO!$C$14</definedName>
    <definedName function="false" hidden="false" name="vg_Ry" vbProcedure="false">DISEÑO!$C$22</definedName>
    <definedName function="false" hidden="false" name="vg_tf_mm" vbProcedure="false">DISEÑO!$C$18</definedName>
    <definedName function="false" hidden="false" name="vg_tw_mm" vbProcedure="false">DISEÑO!$C$17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1" authorId="0">
      <text>
        <r>
          <rPr>
            <sz val="10"/>
            <rFont val="Arial"/>
            <family val="2"/>
          </rPr>
          <t xml:space="preserve">4E: 4 pernos extendida sin rigidizar · 4ES: 4 pernos extendida rigidizada · 8ES: 8 pernos extendida rigidizada (AISC DG4 / AISC 358-16 Fig. 6.1). Placa extendida arriba y abajo (momento reversible).</t>
        </r>
      </text>
    </comment>
    <comment ref="C12" authorId="0">
      <text>
        <r>
          <rPr>
            <sz val="10"/>
            <rFont val="Arial"/>
            <family val="2"/>
          </rPr>
          <t xml:space="preserve">No sísmico: DG4 procedimiento viento/sismo bajo, con Mu y Vu del análisis (tabla de combinaciones). Sísmico: AISC 358-16 Cap. 6 (SMF/IMF), demandas por capacidad Mf = Mpe + Vu·Sh; la tabla de combinaciones no se usa.</t>
        </r>
      </text>
    </comment>
    <comment ref="C32" authorId="0">
      <text>
        <r>
          <rPr>
            <sz val="10"/>
            <rFont val="Arial"/>
            <family val="2"/>
          </rPr>
          <t xml:space="preserve">k = tf + este valor (perfiles armados: tamaño de soldadura alma-ala).</t>
        </r>
      </text>
    </comment>
    <comment ref="C33" authorId="0">
      <text>
        <r>
          <rPr>
            <sz val="10"/>
            <rFont val="Arial"/>
            <family val="2"/>
          </rPr>
          <t xml:space="preserve">Si &lt; d de columna: Ct = 0.5 en fluencia local del alma y reducción en crippling/pandeo (AISC 360-16 J10).</t>
        </r>
      </text>
    </comment>
    <comment ref="C34" authorId="0">
      <text>
        <r>
          <rPr>
            <sz val="10"/>
            <rFont val="Arial"/>
            <family val="2"/>
          </rPr>
          <t xml:space="preserve">Sí: aplica pandeo del alma J10.5 (fuerzas de compresión en ambas alas).</t>
        </r>
      </text>
    </comment>
    <comment ref="C44" authorId="0">
      <text>
        <r>
          <rPr>
            <sz val="10"/>
            <rFont val="Arial"/>
            <family val="2"/>
          </rPr>
          <t xml:space="preserve">En las líneas de fluencia se usa bp ≤ bbf + 1 in (AISC 358-16 §6.8).</t>
        </r>
      </text>
    </comment>
    <comment ref="C62" authorId="0">
      <text>
        <r>
          <rPr>
            <sz val="10"/>
            <rFont val="Arial"/>
            <family val="2"/>
          </rPr>
          <t xml:space="preserve">Modo sísmico: AISC 358-16 §6.7.6 exige soldadura de penetración completa (CJP) sin respaldo.</t>
        </r>
      </text>
    </comment>
    <comment ref="S44" authorId="0">
      <text>
        <r>
          <rPr>
            <sz val="10"/>
            <rFont val="Arial"/>
            <family val="2"/>
          </rPr>
          <t xml:space="preserve">Indicador: 0 si todo está en rango; 0.95 (amarillo) fuera de rango en diseño no sísmico (las líneas de fluencia se validaron en ese rango); 1.50 (rojo) en sísmico (no precalificada). Revisar el detalle en CALCULO §7.</t>
        </r>
      </text>
    </comment>
  </commentList>
</comments>
</file>

<file path=xl/sharedStrings.xml><?xml version="1.0" encoding="utf-8"?>
<sst xmlns="http://schemas.openxmlformats.org/spreadsheetml/2006/main" count="826" uniqueCount="518">
  <si>
    <t xml:space="preserve">CONEXIÓN DE MOMENTO CON PLACA EXTREMA EXTENDIDA (END PLATE) — 4E · 4ES · 8ES</t>
  </si>
  <si>
    <t xml:space="preserve">AISC Design Guide 4 (2da ed.)  ·  AISC 358-16 Cap. 6  ·  AISC 360-16 (J2, J3, J4, J10)  ·  LRFD  ·  Unidades: Tonf, Tonf·m, mm, kgf/cm²</t>
  </si>
  <si>
    <t xml:space="preserve">Celdas de ingreso:</t>
  </si>
  <si>
    <t xml:space="preserve">valor</t>
  </si>
  <si>
    <t xml:space="preserve">  Calculado:</t>
  </si>
  <si>
    <t xml:space="preserve">Estados:  VERDE ≤ límite  ·  AMARILLO entre límite y 1.00  ·  ROJO &gt; 1.00  (ratio = demanda / capacidad)</t>
  </si>
  <si>
    <t xml:space="preserve">DATOS GENERALES</t>
  </si>
  <si>
    <t xml:space="preserve">VISTA FRONTAL DE PLACA (●rojo: tracción)</t>
  </si>
  <si>
    <t xml:space="preserve">ELEVACIÓN LATERAL</t>
  </si>
  <si>
    <t xml:space="preserve">VERIFICACIONES — combinación gobernante por chequeo</t>
  </si>
  <si>
    <t xml:space="preserve">Proyecto</t>
  </si>
  <si>
    <t xml:space="preserve">Galpón KUBIEC — ejemplo</t>
  </si>
  <si>
    <t xml:space="preserve">Elemento / nudo</t>
  </si>
  <si>
    <t xml:space="preserve">Nudo viga–columna eje 2</t>
  </si>
  <si>
    <t xml:space="preserve">Límite verde / amarillo (ratio)</t>
  </si>
  <si>
    <t xml:space="preserve">CONFIGURACIÓN</t>
  </si>
  <si>
    <t xml:space="preserve">Verificación</t>
  </si>
  <si>
    <t xml:space="preserve">Referencia</t>
  </si>
  <si>
    <t xml:space="preserve">Demanda</t>
  </si>
  <si>
    <t xml:space="preserve">Capacidad</t>
  </si>
  <si>
    <t xml:space="preserve">Unidad</t>
  </si>
  <si>
    <t xml:space="preserve">Ratio</t>
  </si>
  <si>
    <t xml:space="preserve">Estado</t>
  </si>
  <si>
    <t xml:space="preserve">Combo</t>
  </si>
  <si>
    <t xml:space="preserve">Tipo de conexión</t>
  </si>
  <si>
    <t xml:space="preserve">4E</t>
  </si>
  <si>
    <t xml:space="preserve">VIGA Y PLACA EXTREMA</t>
  </si>
  <si>
    <t xml:space="preserve">Procedimiento</t>
  </si>
  <si>
    <t xml:space="preserve">No sísmico (DG4)</t>
  </si>
  <si>
    <t xml:space="preserve">Pernos a tracción (sin efecto palanca)</t>
  </si>
  <si>
    <t xml:space="preserve">DG4 · AISC 358 §6.8 pasos 3–4</t>
  </si>
  <si>
    <t xml:space="preserve">Tonf·m</t>
  </si>
  <si>
    <t xml:space="preserve">1. VIGA</t>
  </si>
  <si>
    <t xml:space="preserve">Flexión de placa extrema (placa gruesa)</t>
  </si>
  <si>
    <t xml:space="preserve">DG4 · AISC 358 Tabla 6.2</t>
  </si>
  <si>
    <t xml:space="preserve">Perfil (catálogo o ARMADO)</t>
  </si>
  <si>
    <t xml:space="preserve">VK400X180X6X12</t>
  </si>
  <si>
    <t xml:space="preserve">Armado (mm)</t>
  </si>
  <si>
    <t xml:space="preserve">Extensión 4E — fluencia por corte</t>
  </si>
  <si>
    <t xml:space="preserve">AISC 358 §6.8 · J4.2(a)</t>
  </si>
  <si>
    <t xml:space="preserve">Tonf</t>
  </si>
  <si>
    <t xml:space="preserve">Peralte d</t>
  </si>
  <si>
    <t xml:space="preserve">mm</t>
  </si>
  <si>
    <t xml:space="preserve">Extensión 4E — ruptura por corte</t>
  </si>
  <si>
    <t xml:space="preserve">AISC 358 §6.8 · J4.2(b)</t>
  </si>
  <si>
    <t xml:space="preserve">Ancho de ala bf</t>
  </si>
  <si>
    <t xml:space="preserve">Rigidizador de placa — espesor mínimo</t>
  </si>
  <si>
    <t xml:space="preserve">AISC 358 §6.8 (ts ≥ tbw·Fyb/Fys)</t>
  </si>
  <si>
    <t xml:space="preserve">—</t>
  </si>
  <si>
    <t xml:space="preserve">Espesor de alma tw</t>
  </si>
  <si>
    <t xml:space="preserve">Rigidizador de placa — pandeo local hst/ts</t>
  </si>
  <si>
    <t xml:space="preserve">AISC 358 §6.8 (≤ 0.56√(E/Fys))</t>
  </si>
  <si>
    <t xml:space="preserve">-</t>
  </si>
  <si>
    <t xml:space="preserve">Espesor de ala tf</t>
  </si>
  <si>
    <t xml:space="preserve">PERNOS — CORTE EN EL LADO DE COMPRESIÓN</t>
  </si>
  <si>
    <t xml:space="preserve">Acero</t>
  </si>
  <si>
    <t xml:space="preserve">A572 Gr50</t>
  </si>
  <si>
    <t xml:space="preserve">Corte en pernos</t>
  </si>
  <si>
    <t xml:space="preserve">AISC 358 §6.8 · J3.6</t>
  </si>
  <si>
    <t xml:space="preserve">Fy</t>
  </si>
  <si>
    <t xml:space="preserve">kgf/cm²</t>
  </si>
  <si>
    <t xml:space="preserve">Aplastamiento / desgarre — placa extrema</t>
  </si>
  <si>
    <t xml:space="preserve">J3.10</t>
  </si>
  <si>
    <t xml:space="preserve">Fu</t>
  </si>
  <si>
    <t xml:space="preserve">SOLICITACIONES EN LA CARA DE LA COLUMNA (LRFD)</t>
  </si>
  <si>
    <t xml:space="preserve">Aplastamiento / desgarre — ala de columna</t>
  </si>
  <si>
    <t xml:space="preserve">Ry (AISC 341)</t>
  </si>
  <si>
    <t xml:space="preserve">Combinación</t>
  </si>
  <si>
    <t xml:space="preserve">Mu (Tonf·m)</t>
  </si>
  <si>
    <t xml:space="preserve">Vu (Tonf)</t>
  </si>
  <si>
    <t xml:space="preserve">db,req (mm)</t>
  </si>
  <si>
    <t xml:space="preserve">Ffu (Tonf)</t>
  </si>
  <si>
    <t xml:space="preserve">Ratio máx.</t>
  </si>
  <si>
    <t xml:space="preserve">SOLDADURAS VIGA – PLACA</t>
  </si>
  <si>
    <t xml:space="preserve">2. COLUMNA (conexión al ala)</t>
  </si>
  <si>
    <t xml:space="preserve">1.2D+1.6L</t>
  </si>
  <si>
    <t xml:space="preserve">Ala de viga – placa (filete)</t>
  </si>
  <si>
    <t xml:space="preserve">DG4 · J2.4 (sísmico: CJP §6.7.6)</t>
  </si>
  <si>
    <t xml:space="preserve">HA500X250X10X15</t>
  </si>
  <si>
    <t xml:space="preserve">1.2D+1.0E+L</t>
  </si>
  <si>
    <t xml:space="preserve">Alma – zona de tracción (desarrollar Fy del alma)</t>
  </si>
  <si>
    <t xml:space="preserve">DG4 · J2.4</t>
  </si>
  <si>
    <t xml:space="preserve">kgf/cm</t>
  </si>
  <si>
    <t xml:space="preserve">0.9D+1.0E</t>
  </si>
  <si>
    <t xml:space="preserve">Alma – corte</t>
  </si>
  <si>
    <t xml:space="preserve">J2.4</t>
  </si>
  <si>
    <t xml:space="preserve">1.2D+1.0W+L</t>
  </si>
  <si>
    <t xml:space="preserve">COLUMNA</t>
  </si>
  <si>
    <t xml:space="preserve">C5</t>
  </si>
  <si>
    <t xml:space="preserve">Flexión del ala de columna</t>
  </si>
  <si>
    <t xml:space="preserve">DG4 · AISC 358 Tablas 6.5/6.6</t>
  </si>
  <si>
    <t xml:space="preserve">C6</t>
  </si>
  <si>
    <t xml:space="preserve">Fluencia local del alma</t>
  </si>
  <si>
    <t xml:space="preserve">DG4 · J10.2</t>
  </si>
  <si>
    <t xml:space="preserve">C7</t>
  </si>
  <si>
    <t xml:space="preserve">Aplastamiento del alma (crippling)</t>
  </si>
  <si>
    <t xml:space="preserve">J10.3</t>
  </si>
  <si>
    <t xml:space="preserve">C8</t>
  </si>
  <si>
    <t xml:space="preserve">Pandeo del alma en compresión</t>
  </si>
  <si>
    <t xml:space="preserve">J10.5</t>
  </si>
  <si>
    <t xml:space="preserve">C9</t>
  </si>
  <si>
    <t xml:space="preserve">Rigidizadores de continuidad</t>
  </si>
  <si>
    <t xml:space="preserve">DG4 · J10.8</t>
  </si>
  <si>
    <t xml:space="preserve">Filete / radio alma–ala (para k)</t>
  </si>
  <si>
    <t xml:space="preserve">C10</t>
  </si>
  <si>
    <t xml:space="preserve">Zona de panel (corte)</t>
  </si>
  <si>
    <t xml:space="preserve">J10.6(a)</t>
  </si>
  <si>
    <t xml:space="preserve">Tope de columna → ala superior de viga</t>
  </si>
  <si>
    <t xml:space="preserve">GEOMETRÍA Y DETALLES (requerido / provisto)</t>
  </si>
  <si>
    <t xml:space="preserve">Vigas a ambos lados (columna interior)</t>
  </si>
  <si>
    <t xml:space="preserve">No</t>
  </si>
  <si>
    <t xml:space="preserve">Ancho de placa bp ≥ bbf</t>
  </si>
  <si>
    <t xml:space="preserve">AISC 358 §6.8</t>
  </si>
  <si>
    <t xml:space="preserve">cm</t>
  </si>
  <si>
    <t xml:space="preserve">Mu viga opuesta (suma en zona de panel)</t>
  </si>
  <si>
    <t xml:space="preserve">DETALLE DE UNA COMBINACIÓN</t>
  </si>
  <si>
    <t xml:space="preserve">Holgura de llave: pfi, pfo ≥ db + 12.7 mm</t>
  </si>
  <si>
    <t xml:space="preserve">DG4</t>
  </si>
  <si>
    <t xml:space="preserve">Pu de la columna</t>
  </si>
  <si>
    <t xml:space="preserve">Combinación:</t>
  </si>
  <si>
    <t xml:space="preserve">Borde de ≥ mínimo</t>
  </si>
  <si>
    <t xml:space="preserve">J3.4</t>
  </si>
  <si>
    <t xml:space="preserve">Sí</t>
  </si>
  <si>
    <t xml:space="preserve">Momento de diseño Mu (sísmico: Mf)</t>
  </si>
  <si>
    <t xml:space="preserve">Borde lateral (bp − g)/2 ≥ mínimo</t>
  </si>
  <si>
    <t xml:space="preserve">Rigidizador continuidad: espesor</t>
  </si>
  <si>
    <t xml:space="preserve">Cortante de diseño Vu</t>
  </si>
  <si>
    <t xml:space="preserve">Gramil g ≥ 2⅔·db</t>
  </si>
  <si>
    <t xml:space="preserve">J3.3</t>
  </si>
  <si>
    <t xml:space="preserve">Rigidizador continuidad: ancho (c/lado)</t>
  </si>
  <si>
    <t xml:space="preserve">Fuerza en el ala Ffu</t>
  </si>
  <si>
    <t xml:space="preserve">Paso pb ≥ 2⅔·db (8ES)</t>
  </si>
  <si>
    <t xml:space="preserve">3. PLACA EXTREMA</t>
  </si>
  <si>
    <t xml:space="preserve">Diámetro requerido db,req / provisto</t>
  </si>
  <si>
    <t xml:space="preserve">Filete mínimo ala de viga</t>
  </si>
  <si>
    <t xml:space="preserve">Tabla J2.4</t>
  </si>
  <si>
    <t xml:space="preserve">φMnp = φn·2·Pt·Σhi</t>
  </si>
  <si>
    <t xml:space="preserve">Filete mínimo alma de viga</t>
  </si>
  <si>
    <t xml:space="preserve">Yp placa / caso</t>
  </si>
  <si>
    <t xml:space="preserve">Rigid. continuidad: b + tcw/2 ≥ bbf/3</t>
  </si>
  <si>
    <t xml:space="preserve">J10.8</t>
  </si>
  <si>
    <t xml:space="preserve">tp requerido / provisto</t>
  </si>
  <si>
    <t xml:space="preserve">Rigid. continuidad: t ≥ tbf/2</t>
  </si>
  <si>
    <t xml:space="preserve">bp — ancho de placa</t>
  </si>
  <si>
    <t xml:space="preserve">Yc columna</t>
  </si>
  <si>
    <t xml:space="preserve">Parámetros dentro de rangos ensayados</t>
  </si>
  <si>
    <t xml:space="preserve">AISC 358 Tabla 6.1 · DG4</t>
  </si>
  <si>
    <t xml:space="preserve">fuera</t>
  </si>
  <si>
    <t xml:space="preserve">de 9</t>
  </si>
  <si>
    <t xml:space="preserve">tp — espesor</t>
  </si>
  <si>
    <t xml:space="preserve">tcf requerido / provisto</t>
  </si>
  <si>
    <t xml:space="preserve">g — gramil horizontal</t>
  </si>
  <si>
    <t xml:space="preserve">Fuerza para rigidizadores Fsu</t>
  </si>
  <si>
    <t xml:space="preserve">ALCANCE Y SUPUESTOS</t>
  </si>
  <si>
    <t xml:space="preserve">pfo — ala a fila exterior</t>
  </si>
  <si>
    <t xml:space="preserve">Sísmico: Mpe / Sh / Lh</t>
  </si>
  <si>
    <t xml:space="preserve">• No sísmico: procedimiento DG4 (placa gruesa, sin palanca) con φ de AISC 360-16 (DG4 2003 usaba φ de LRFD 1999).</t>
  </si>
  <si>
    <t xml:space="preserve">pfi — ala a fila interior</t>
  </si>
  <si>
    <t xml:space="preserve">Ratio máximo de la combinación</t>
  </si>
  <si>
    <t xml:space="preserve">• Sísmico: AISC 358-16 Cap. 6 con Mf = Mpe + Vu·Sh; φd = 1.00 (dúctil) y φn = 0.90 (no dúctil).</t>
  </si>
  <si>
    <t xml:space="preserve">pb — entre filas (solo 8ES)</t>
  </si>
  <si>
    <t xml:space="preserve">• Placa extendida arriba y abajo (momento reversible); pernos pretensados; conexión al ala de la columna.</t>
  </si>
  <si>
    <t xml:space="preserve">de — fila exterior a borde</t>
  </si>
  <si>
    <t xml:space="preserve">• Yp, Yc: AISC 358-16 Tablas 6.2, 6.5 y 6.6 (mismo modelo de líneas de fluencia de DG4).</t>
  </si>
  <si>
    <t xml:space="preserve">4. PERNOS (pretensados)</t>
  </si>
  <si>
    <t xml:space="preserve">• Sísmico no incluye: columna fuerte–viga débil, zona de panel según AISC 341, arriostramiento lateral.</t>
  </si>
  <si>
    <t xml:space="preserve">Grado</t>
  </si>
  <si>
    <t xml:space="preserve">A325-N (roscas incl.)</t>
  </si>
  <si>
    <t xml:space="preserve">• No incluye placas de refuerzo en zona de panel (doublers) ni conexión al alma de la columna.</t>
  </si>
  <si>
    <t xml:space="preserve">Fnt</t>
  </si>
  <si>
    <t xml:space="preserve">• Rangos de Tabla 6.1 en CATALOGOS: confirmar contra la norma impresa.</t>
  </si>
  <si>
    <t xml:space="preserve">Fnv</t>
  </si>
  <si>
    <t xml:space="preserve">• Herramienta de apoyo: la responsabilidad del diseño es del ingeniero que la usa.</t>
  </si>
  <si>
    <t xml:space="preserve">Diámetro</t>
  </si>
  <si>
    <t xml:space="preserve">7/8"</t>
  </si>
  <si>
    <t xml:space="preserve">5. RIGIDIZADOR DE PLACA (4ES / 8ES)</t>
  </si>
  <si>
    <t xml:space="preserve">Espesor ts</t>
  </si>
  <si>
    <t xml:space="preserve">Fys</t>
  </si>
  <si>
    <t xml:space="preserve">6. SOLDADURA</t>
  </si>
  <si>
    <t xml:space="preserve">Electrodo</t>
  </si>
  <si>
    <t xml:space="preserve">E70XX</t>
  </si>
  <si>
    <t xml:space="preserve">Filete ala de viga – placa (no sísmico)</t>
  </si>
  <si>
    <t xml:space="preserve">Filete alma de viga – placa (c/lado)</t>
  </si>
  <si>
    <t xml:space="preserve">7. SÍSMICO — AISC 358-16 §6.8</t>
  </si>
  <si>
    <t xml:space="preserve">Luz entre ejes de columnas L</t>
  </si>
  <si>
    <t xml:space="preserve">m</t>
  </si>
  <si>
    <t xml:space="preserve">Vgrav en la rótula (1.2D + f1L + 0.2S)</t>
  </si>
  <si>
    <t xml:space="preserve">HOJA DE CÁLCULO — memoria detallada (no editar)</t>
  </si>
  <si>
    <t xml:space="preserve">Unidades internas: kgf, cm. Líneas de fluencia: AISC 358-16 Tablas 6.2/6.5/6.6 (mismas de DG4). φ: AISC 360-16 (no sísmico) y φd = 1.00 / φn = 0.90 de AISC 358-16 §2.4.1 (sísmico).</t>
  </si>
  <si>
    <t xml:space="preserve">1. GEOMETRÍA Y MATERIALES</t>
  </si>
  <si>
    <t xml:space="preserve">sísmico</t>
  </si>
  <si>
    <t xml:space="preserve">1 = procedimiento sísmico AISC 358-16</t>
  </si>
  <si>
    <t xml:space="preserve">8ES</t>
  </si>
  <si>
    <t xml:space="preserve">1 = configuración de 8 pernos</t>
  </si>
  <si>
    <t xml:space="preserve">1 = 4E sin rigidizar</t>
  </si>
  <si>
    <t xml:space="preserve">E</t>
  </si>
  <si>
    <t xml:space="preserve">Módulo de elasticidad</t>
  </si>
  <si>
    <t xml:space="preserve">d</t>
  </si>
  <si>
    <t xml:space="preserve">Peralte de viga</t>
  </si>
  <si>
    <t xml:space="preserve">bbf</t>
  </si>
  <si>
    <t xml:space="preserve">Ancho de ala de viga</t>
  </si>
  <si>
    <t xml:space="preserve">tbw</t>
  </si>
  <si>
    <t xml:space="preserve">Alma de viga</t>
  </si>
  <si>
    <t xml:space="preserve">tbf</t>
  </si>
  <si>
    <t xml:space="preserve">Ala de viga</t>
  </si>
  <si>
    <t xml:space="preserve">Zx</t>
  </si>
  <si>
    <t xml:space="preserve">bf·tf·(d−tf) + tw·(d−2tf)²/4</t>
  </si>
  <si>
    <t xml:space="preserve">cm³</t>
  </si>
  <si>
    <t xml:space="preserve">dc</t>
  </si>
  <si>
    <t xml:space="preserve">Peralte de columna</t>
  </si>
  <si>
    <t xml:space="preserve">bcf</t>
  </si>
  <si>
    <t xml:space="preserve">Ancho de ala de columna</t>
  </si>
  <si>
    <t xml:space="preserve">tcw</t>
  </si>
  <si>
    <t xml:space="preserve">Alma de columna</t>
  </si>
  <si>
    <t xml:space="preserve">tcf</t>
  </si>
  <si>
    <t xml:space="preserve">Ala de columna</t>
  </si>
  <si>
    <t xml:space="preserve">Ac</t>
  </si>
  <si>
    <t xml:space="preserve">Área de columna</t>
  </si>
  <si>
    <t xml:space="preserve">cm²</t>
  </si>
  <si>
    <t xml:space="preserve">kc</t>
  </si>
  <si>
    <t xml:space="preserve">tcf + filete</t>
  </si>
  <si>
    <t xml:space="preserve">h</t>
  </si>
  <si>
    <t xml:space="preserve">dc − 2kc (alma libre)</t>
  </si>
  <si>
    <t xml:space="preserve">bp</t>
  </si>
  <si>
    <t xml:space="preserve">Ancho de placa</t>
  </si>
  <si>
    <t xml:space="preserve">bp,ef</t>
  </si>
  <si>
    <t xml:space="preserve">mín(bp ; bbf + 2.54) para líneas de fluencia</t>
  </si>
  <si>
    <t xml:space="preserve">tp</t>
  </si>
  <si>
    <t xml:space="preserve">Espesor de placa</t>
  </si>
  <si>
    <t xml:space="preserve">g</t>
  </si>
  <si>
    <t xml:space="preserve">Gramil</t>
  </si>
  <si>
    <t xml:space="preserve">pfo</t>
  </si>
  <si>
    <t xml:space="preserve">Ala a fila exterior</t>
  </si>
  <si>
    <t xml:space="preserve">pfi</t>
  </si>
  <si>
    <t xml:space="preserve">Ala a fila interior</t>
  </si>
  <si>
    <t xml:space="preserve">pb</t>
  </si>
  <si>
    <t xml:space="preserve">Entre filas (8ES; 0 en 4E/4ES)</t>
  </si>
  <si>
    <t xml:space="preserve">de</t>
  </si>
  <si>
    <t xml:space="preserve">Fila exterior a borde</t>
  </si>
  <si>
    <t xml:space="preserve">Hp</t>
  </si>
  <si>
    <t xml:space="preserve">Alto de placa: d + 2(pfo + pb + de)</t>
  </si>
  <si>
    <t xml:space="preserve">db</t>
  </si>
  <si>
    <t xml:space="preserve">Diámetro de perno</t>
  </si>
  <si>
    <t xml:space="preserve">in</t>
  </si>
  <si>
    <t xml:space="preserve">Ab</t>
  </si>
  <si>
    <t xml:space="preserve">π·db²/4</t>
  </si>
  <si>
    <t xml:space="preserve">dh</t>
  </si>
  <si>
    <t xml:space="preserve">Agujero estándar (Tabla J3.3): db + 1/16 in (db &lt; 1 in) ; db + 1/8 in</t>
  </si>
  <si>
    <t xml:space="preserve">Le,min</t>
  </si>
  <si>
    <t xml:space="preserve">Borde mínimo (Tabla J3.4)</t>
  </si>
  <si>
    <t xml:space="preserve">nb</t>
  </si>
  <si>
    <t xml:space="preserve">Pernos en el lado de compresión (resisten corte)</t>
  </si>
  <si>
    <t xml:space="preserve">2. DISTANCIAS DESDE EL CENTRO DEL ALA EN COMPRESIÓN (DG4 / AISC 358 Fig. 6.2)</t>
  </si>
  <si>
    <t xml:space="preserve">h0 | h1</t>
  </si>
  <si>
    <t xml:space="preserve">4E/4ES: h0 = d − tbf/2 + pfo ; 8ES: h1 = d − tbf/2 + pfo + pb</t>
  </si>
  <si>
    <t xml:space="preserve">h1 | h2</t>
  </si>
  <si>
    <t xml:space="preserve">4E/4ES: h1 = d − 1.5tbf − pfi ; 8ES: h2 = d − tbf/2 + pfo</t>
  </si>
  <si>
    <t xml:space="preserve">— | h3</t>
  </si>
  <si>
    <t xml:space="preserve">8ES: h3 = d − 1.5tbf − pfi</t>
  </si>
  <si>
    <t xml:space="preserve">— | h4</t>
  </si>
  <si>
    <t xml:space="preserve">8ES: h4 = h3 − pb</t>
  </si>
  <si>
    <t xml:space="preserve">Σhi</t>
  </si>
  <si>
    <t xml:space="preserve">Suma de brazos de las filas en tracción</t>
  </si>
  <si>
    <t xml:space="preserve">3. PERNOS Y PLACA EXTREMA</t>
  </si>
  <si>
    <t xml:space="preserve">Pt</t>
  </si>
  <si>
    <t xml:space="preserve">Fnt·Ab (tracción nominal por perno)</t>
  </si>
  <si>
    <t xml:space="preserve">kgf</t>
  </si>
  <si>
    <t xml:space="preserve">Mnp</t>
  </si>
  <si>
    <t xml:space="preserve">2·Pt·Σhi (sin palanca)</t>
  </si>
  <si>
    <t xml:space="preserve">kgf·cm</t>
  </si>
  <si>
    <t xml:space="preserve">φn</t>
  </si>
  <si>
    <t xml:space="preserve">Pernos, ruptura: 0.75 (AISC 360) | 0.90 (AISC 358)</t>
  </si>
  <si>
    <t xml:space="preserve">φ fluencia</t>
  </si>
  <si>
    <t xml:space="preserve">Flexión de placa/ala: 0.90 (AISC 360) | 1.00 (AISC 358)</t>
  </si>
  <si>
    <t xml:space="preserve">s</t>
  </si>
  <si>
    <t xml:space="preserve">½·√(bp,ef·g)</t>
  </si>
  <si>
    <t xml:space="preserve">pfi,ef</t>
  </si>
  <si>
    <t xml:space="preserve">pfi ≤ s (nota de Tabla 6.2)</t>
  </si>
  <si>
    <t xml:space="preserve">Yp</t>
  </si>
  <si>
    <t xml:space="preserve">Línea de fluencia de la placa (Tabla 6.2; casos de ≤ s / de &gt; s en 4ES y 8ES)</t>
  </si>
  <si>
    <t xml:space="preserve">φMpl</t>
  </si>
  <si>
    <t xml:space="preserve">φ·Fyp·Yp·tp²</t>
  </si>
  <si>
    <t xml:space="preserve">An</t>
  </si>
  <si>
    <t xml:space="preserve">Extensión 4E: [bp − 2(dh + 1/16 in)]·tp</t>
  </si>
  <si>
    <t xml:space="preserve">φRn</t>
  </si>
  <si>
    <t xml:space="preserve">Extensión 4E, fluencia por corte: 1.00·0.6·Fyp·bp·tp (J4.2a)</t>
  </si>
  <si>
    <t xml:space="preserve">Extensión 4E, ruptura por corte: φn·0.6·Fup·An (J4.2b)</t>
  </si>
  <si>
    <t xml:space="preserve">Corte en pernos del lado de compresión: φn·nb·Fnv·Ab (J3.6)</t>
  </si>
  <si>
    <t xml:space="preserve">Lc,o</t>
  </si>
  <si>
    <t xml:space="preserve">Pernos exteriores: mín(de − dh/2 ; pb − dh)</t>
  </si>
  <si>
    <t xml:space="preserve">Lc,i</t>
  </si>
  <si>
    <t xml:space="preserve">Pernos interiores: mín(pfo + tbf + pfi − dh ; pb − dh)</t>
  </si>
  <si>
    <t xml:space="preserve">Aplastamiento/desgarre en placa: φn·nb/2·(rn,i + rn,o), rn = mín(1.2Lc·t·Fu ; 2.4db·t·Fu)</t>
  </si>
  <si>
    <t xml:space="preserve">Aplastamiento/desgarre en ala de columna (sin borde libre exterior)</t>
  </si>
  <si>
    <t xml:space="preserve">hst</t>
  </si>
  <si>
    <t xml:space="preserve">Altura del rigidizador de placa = pfo + pb + de</t>
  </si>
  <si>
    <t xml:space="preserve">Lst</t>
  </si>
  <si>
    <t xml:space="preserve">Largo del rigidizador = hst/tan30°</t>
  </si>
  <si>
    <t xml:space="preserve">ts,req</t>
  </si>
  <si>
    <t xml:space="preserve">tbw·Fyb/Fys (AISC 358 §6.8)</t>
  </si>
  <si>
    <t xml:space="preserve">λ</t>
  </si>
  <si>
    <t xml:space="preserve">hst/ts</t>
  </si>
  <si>
    <t xml:space="preserve">λlím</t>
  </si>
  <si>
    <t xml:space="preserve">0.56·√(E/Fys)</t>
  </si>
  <si>
    <t xml:space="preserve">4. SOLDADURAS — AISC 360-16 J2.4</t>
  </si>
  <si>
    <t xml:space="preserve">FEXX</t>
  </si>
  <si>
    <t xml:space="preserve">Filete ala (2 lados): 0.75·0.6·FEXX·0.707w·(2bbf − tbw)·1.5</t>
  </si>
  <si>
    <t xml:space="preserve">req.</t>
  </si>
  <si>
    <t xml:space="preserve">Alma zona de tracción: desarrollar 0.9·Fyb·tbw por unidad de longitud (DG4)</t>
  </si>
  <si>
    <t xml:space="preserve">Filete alma 2 lados por unidad de longitud: 0.75·0.6·FEXX·0.707w·2·1.5</t>
  </si>
  <si>
    <t xml:space="preserve">Alma a corte, Lw = d/2 − tbf (2 lados), θ = 0°</t>
  </si>
  <si>
    <t xml:space="preserve">5. COLUMNA — ALA (Tablas 6.5 / 6.6) Y ALMA (J10)</t>
  </si>
  <si>
    <t xml:space="preserve">½·√(bcf·g)</t>
  </si>
  <si>
    <t xml:space="preserve">c</t>
  </si>
  <si>
    <t xml:space="preserve">pfo + tbf + pfi</t>
  </si>
  <si>
    <t xml:space="preserve">pso</t>
  </si>
  <si>
    <t xml:space="preserve">Rigidizador centrado en el ala: pfo + (tbf − ts)/2 ; ≤ s</t>
  </si>
  <si>
    <t xml:space="preserve">psi</t>
  </si>
  <si>
    <t xml:space="preserve">pfi + (tbf − ts)/2 ; ≤ s</t>
  </si>
  <si>
    <t xml:space="preserve">Yc,u</t>
  </si>
  <si>
    <t xml:space="preserve">Ala de columna sin rigidizar (Tabla 6.5)</t>
  </si>
  <si>
    <t xml:space="preserve">Yc,s</t>
  </si>
  <si>
    <t xml:space="preserve">Ala de columna rigidizada (Tabla 6.6)</t>
  </si>
  <si>
    <t xml:space="preserve">Yc</t>
  </si>
  <si>
    <t xml:space="preserve">Usado según 'Rigidizadores de continuidad'</t>
  </si>
  <si>
    <t xml:space="preserve">φMcf</t>
  </si>
  <si>
    <t xml:space="preserve">φ·Fyc·Yc·tcf²</t>
  </si>
  <si>
    <t xml:space="preserve">Ala sin rigidizar como fuerza equivalente: φ·Fyc·Yc,u·tcf²/(d − tbf)</t>
  </si>
  <si>
    <t xml:space="preserve">Ct</t>
  </si>
  <si>
    <t xml:space="preserve">0.5 si tope de columna &lt; dc; si no 1.0</t>
  </si>
  <si>
    <t xml:space="preserve">Fluencia local del alma: 1.0·Ct·(6kc + tbf + 2tp)·Fyc·tcw (DG4 / J10.2)</t>
  </si>
  <si>
    <t xml:space="preserve">N</t>
  </si>
  <si>
    <t xml:space="preserve">tbf + 2w + 2tp</t>
  </si>
  <si>
    <t xml:space="preserve">Crippling: 0.75·(0.80 | 0.40)·tcw²·[1 + …(tcw/tcf)^1.5]·√(E·Fyc·tcf/tcw) (J10.3)</t>
  </si>
  <si>
    <t xml:space="preserve">Pandeo del alma (J10.5): 0.90·24·tcw³·√(E·Fyc)/h (×0.5 cerca del tope)</t>
  </si>
  <si>
    <t xml:space="preserve">Rigidizadores de continuidad: 0.90·Fyc·2·b·t (J10.8)</t>
  </si>
  <si>
    <t xml:space="preserve">Py</t>
  </si>
  <si>
    <t xml:space="preserve">Fyc·Ac</t>
  </si>
  <si>
    <t xml:space="preserve">φRv</t>
  </si>
  <si>
    <t xml:space="preserve">Zona de panel (J10.6a): 0.90·0.6·Fyc·dc·tcw·(1 ó 1.4 − Pr/Py)</t>
  </si>
  <si>
    <t xml:space="preserve">6. DEMANDA SÍSMICA POR CAPACIDAD — AISC 358-16 §6.8 (solo modo sísmico)</t>
  </si>
  <si>
    <t xml:space="preserve">Cpr</t>
  </si>
  <si>
    <t xml:space="preserve">(Fy + Fu)/(2Fy) ≤ 1.2</t>
  </si>
  <si>
    <t xml:space="preserve">Mpe</t>
  </si>
  <si>
    <t xml:space="preserve">Cpr·Ry·Fyb·Zx</t>
  </si>
  <si>
    <t xml:space="preserve">Sh</t>
  </si>
  <si>
    <t xml:space="preserve">4E: mín(d/2 ; 3bbf) ; 4ES/8ES: Lst + tp</t>
  </si>
  <si>
    <t xml:space="preserve">Lh</t>
  </si>
  <si>
    <t xml:space="preserve">L − dc − 2Sh (entre rótulas)</t>
  </si>
  <si>
    <t xml:space="preserve">Vu</t>
  </si>
  <si>
    <t xml:space="preserve">2Mpe/Lh + Vgrav</t>
  </si>
  <si>
    <t xml:space="preserve">Mf</t>
  </si>
  <si>
    <t xml:space="preserve">Mpe + Vu·Sh (en la cara de la columna)</t>
  </si>
  <si>
    <t xml:space="preserve">7. RANGOS ENSAYADOS (AISC 358-16 Tabla 6.1)</t>
  </si>
  <si>
    <t xml:space="preserve">col</t>
  </si>
  <si>
    <t xml:space="preserve">Columna de la tabla según la configuración</t>
  </si>
  <si>
    <t xml:space="preserve">Fuera de rango tbf (1 = sí): valor en pulgadas vs Tabla 6.1</t>
  </si>
  <si>
    <t xml:space="preserve">Fuera de rango bbf (1 = sí): valor en pulgadas vs Tabla 6.1</t>
  </si>
  <si>
    <t xml:space="preserve">Fuera de rango d (1 = sí): valor en pulgadas vs Tabla 6.1</t>
  </si>
  <si>
    <t xml:space="preserve">Fuera de rango tp (1 = sí): valor en pulgadas vs Tabla 6.1</t>
  </si>
  <si>
    <t xml:space="preserve">Fuera de rango bp (1 = sí): valor en pulgadas vs Tabla 6.1</t>
  </si>
  <si>
    <t xml:space="preserve">Fuera de rango g (1 = sí): valor en pulgadas vs Tabla 6.1</t>
  </si>
  <si>
    <t xml:space="preserve">Fuera de rango pfi (1 = sí): valor en pulgadas vs Tabla 6.1</t>
  </si>
  <si>
    <t xml:space="preserve">Fuera de rango pfo (1 = sí): valor en pulgadas vs Tabla 6.1</t>
  </si>
  <si>
    <t xml:space="preserve">Fuera de rango pb (1 = sí): valor en pulgadas vs Tabla 6.1</t>
  </si>
  <si>
    <t xml:space="preserve">Σ</t>
  </si>
  <si>
    <t xml:space="preserve">Parámetros fuera de rango</t>
  </si>
  <si>
    <t xml:space="preserve">8. VERIFICACIÓN POR COMBINACIÓN (modo sísmico: solo columna 1 = Mf, Vu)</t>
  </si>
  <si>
    <t xml:space="preserve">Símbolo</t>
  </si>
  <si>
    <t xml:space="preserve">Descripción</t>
  </si>
  <si>
    <t xml:space="preserve">Nombre</t>
  </si>
  <si>
    <t xml:space="preserve">activo</t>
  </si>
  <si>
    <t xml:space="preserve">Combinación con cargas</t>
  </si>
  <si>
    <t xml:space="preserve">Mu</t>
  </si>
  <si>
    <t xml:space="preserve">Momento de diseño (sísmico: Mf)</t>
  </si>
  <si>
    <t xml:space="preserve">Cortante de diseño (sísmico: Vu por capacidad)</t>
  </si>
  <si>
    <t xml:space="preserve">db,req</t>
  </si>
  <si>
    <t xml:space="preserve">√(2Mu/(π·φn·Fnt·Σhi))</t>
  </si>
  <si>
    <t xml:space="preserve">Ffu</t>
  </si>
  <si>
    <t xml:space="preserve">Mu/(d − tbf)</t>
  </si>
  <si>
    <t xml:space="preserve">ratio</t>
  </si>
  <si>
    <t xml:space="preserve">Pernos a tracción sin palanca: Mu/(φn·Mnp)</t>
  </si>
  <si>
    <t xml:space="preserve">Dem.</t>
  </si>
  <si>
    <t xml:space="preserve">Placa: 1.11·φn·Mnp (DG4) | 1.11·Mf (AISC 358)</t>
  </si>
  <si>
    <t xml:space="preserve">Flexión de placa (placa gruesa)</t>
  </si>
  <si>
    <t xml:space="preserve">tp,req</t>
  </si>
  <si>
    <t xml:space="preserve">√(Dem./(φ·Fyp·Yp))</t>
  </si>
  <si>
    <t xml:space="preserve">Extensión 4E — fluencia por corte: (Ffu/2)/φRn</t>
  </si>
  <si>
    <t xml:space="preserve">Extensión 4E — ruptura por corte: (Ffu/2)/φRn</t>
  </si>
  <si>
    <t xml:space="preserve">Aplastamiento en placa</t>
  </si>
  <si>
    <t xml:space="preserve">Aplastamiento en ala de columna</t>
  </si>
  <si>
    <t xml:space="preserve">Soldadura ala (filete, solo no sísmico)</t>
  </si>
  <si>
    <t xml:space="preserve">Soldadura alma, zona de tracción</t>
  </si>
  <si>
    <t xml:space="preserve">Soldadura alma a corte</t>
  </si>
  <si>
    <t xml:space="preserve">Ala de columna: 1.11·φn·Mnp | 1.11·Mf</t>
  </si>
  <si>
    <t xml:space="preserve">tcf,req</t>
  </si>
  <si>
    <t xml:space="preserve">√(Dem./(φ·Fyc·Yc))</t>
  </si>
  <si>
    <t xml:space="preserve">Crippling del alma</t>
  </si>
  <si>
    <t xml:space="preserve">Pandeo del alma (solo vigas a ambos lados)</t>
  </si>
  <si>
    <t xml:space="preserve">Fsu</t>
  </si>
  <si>
    <t xml:space="preserve">Ffu − mín(φRn ala, fluencia, crippling, pandeo)</t>
  </si>
  <si>
    <t xml:space="preserve">Rigidizadores de continuidad: Fsu/φRn</t>
  </si>
  <si>
    <t xml:space="preserve">Vpz</t>
  </si>
  <si>
    <t xml:space="preserve">Cortante en zona de panel: (Mu + Mu,op)/(d − tbf) ; sísmico 2 lados: 2Mf</t>
  </si>
  <si>
    <t xml:space="preserve">Zona de panel</t>
  </si>
  <si>
    <t xml:space="preserve">máx.</t>
  </si>
  <si>
    <t xml:space="preserve">CATÁLOGOS — ampliables agregando filas dentro de cada rango</t>
  </si>
  <si>
    <t xml:space="preserve">Vigas (VK: KUBIEC; W: AISC redondeado a mm)</t>
  </si>
  <si>
    <t xml:space="preserve">Columnas (HA: KUBIEC; W: AISC)</t>
  </si>
  <si>
    <t xml:space="preserve">Aceros (kgf/cm²) — Ry: AISC 341-16 Tabla A3.1</t>
  </si>
  <si>
    <t xml:space="preserve">Pernos pretensados (kgf/cm²) — AISC 360-16 Tabla J3.2</t>
  </si>
  <si>
    <t xml:space="preserve">Diámetros — borde mín. AISC 360-16 Tabla J3.4</t>
  </si>
  <si>
    <t xml:space="preserve">Opción</t>
  </si>
  <si>
    <t xml:space="preserve">Configuración</t>
  </si>
  <si>
    <t xml:space="preserve">Espesores (mm)</t>
  </si>
  <si>
    <t xml:space="preserve">Rangos ensayados — AISC 358-16 Tabla 6.1 (VERIFICAR contra la norma antes de usar)</t>
  </si>
  <si>
    <t xml:space="preserve">Viga</t>
  </si>
  <si>
    <t xml:space="preserve">bf</t>
  </si>
  <si>
    <t xml:space="preserve">tw</t>
  </si>
  <si>
    <t xml:space="preserve">tf</t>
  </si>
  <si>
    <t xml:space="preserve">Columna</t>
  </si>
  <si>
    <t xml:space="preserve">Ry</t>
  </si>
  <si>
    <t xml:space="preserve">Ø</t>
  </si>
  <si>
    <t xml:space="preserve">db (in)</t>
  </si>
  <si>
    <t xml:space="preserve">borde mín (in)</t>
  </si>
  <si>
    <t xml:space="preserve">Sí/No</t>
  </si>
  <si>
    <t xml:space="preserve">Tipo</t>
  </si>
  <si>
    <t xml:space="preserve">Modo</t>
  </si>
  <si>
    <t xml:space="preserve">t</t>
  </si>
  <si>
    <t xml:space="preserve">Parámetro (in)</t>
  </si>
  <si>
    <t xml:space="preserve">4E mín</t>
  </si>
  <si>
    <t xml:space="preserve">4E máx</t>
  </si>
  <si>
    <t xml:space="preserve">4ES mín</t>
  </si>
  <si>
    <t xml:space="preserve">4ES máx</t>
  </si>
  <si>
    <t xml:space="preserve">8ES mín</t>
  </si>
  <si>
    <t xml:space="preserve">8ES máx</t>
  </si>
  <si>
    <t xml:space="preserve">ARMADO (flejes soldados)</t>
  </si>
  <si>
    <t xml:space="preserve">A36</t>
  </si>
  <si>
    <t xml:space="preserve">5/8"</t>
  </si>
  <si>
    <t xml:space="preserve">E60XX</t>
  </si>
  <si>
    <t xml:space="preserve">VK180X100X4X6</t>
  </si>
  <si>
    <t xml:space="preserve">HA200X140X6X12</t>
  </si>
  <si>
    <t xml:space="preserve">A325-X (roscas excl.)</t>
  </si>
  <si>
    <t xml:space="preserve">3/4"</t>
  </si>
  <si>
    <t xml:space="preserve">4ES</t>
  </si>
  <si>
    <t xml:space="preserve">Sísmico (AISC 358)</t>
  </si>
  <si>
    <t xml:space="preserve">VK200X100X4X8</t>
  </si>
  <si>
    <t xml:space="preserve">HA220X160X6X12</t>
  </si>
  <si>
    <t xml:space="preserve">A992</t>
  </si>
  <si>
    <t xml:space="preserve">A490-N (roscas incl.)</t>
  </si>
  <si>
    <t xml:space="preserve">VK220X110X4X8</t>
  </si>
  <si>
    <t xml:space="preserve">HA240X180X6X12</t>
  </si>
  <si>
    <t xml:space="preserve">A588 Gr50</t>
  </si>
  <si>
    <t xml:space="preserve">A490-X (roscas excl.)</t>
  </si>
  <si>
    <t xml:space="preserve">1"</t>
  </si>
  <si>
    <t xml:space="preserve">VK250X130X4X8</t>
  </si>
  <si>
    <t xml:space="preserve">HA260X180X6X12</t>
  </si>
  <si>
    <t xml:space="preserve">1-1/8"</t>
  </si>
  <si>
    <t xml:space="preserve">VK270X140X4X8</t>
  </si>
  <si>
    <t xml:space="preserve">HA280X180X6X12</t>
  </si>
  <si>
    <t xml:space="preserve">1-1/4"</t>
  </si>
  <si>
    <t xml:space="preserve">VK300X150X4X10</t>
  </si>
  <si>
    <t xml:space="preserve">HA300X180X6X12</t>
  </si>
  <si>
    <t xml:space="preserve">1-3/8"</t>
  </si>
  <si>
    <t xml:space="preserve">VK330X160X6X10</t>
  </si>
  <si>
    <t xml:space="preserve">HA320X180X6X12</t>
  </si>
  <si>
    <t xml:space="preserve">1-1/2"</t>
  </si>
  <si>
    <t xml:space="preserve">VK360X180X6X10</t>
  </si>
  <si>
    <t xml:space="preserve">HA340X180X6X12</t>
  </si>
  <si>
    <t xml:space="preserve">VK380X180X6X10</t>
  </si>
  <si>
    <t xml:space="preserve">HA360X180X6X12</t>
  </si>
  <si>
    <t xml:space="preserve">VK400X180X6X10</t>
  </si>
  <si>
    <t xml:space="preserve">HA380X200X8X15</t>
  </si>
  <si>
    <t xml:space="preserve">HA400X200X8X15</t>
  </si>
  <si>
    <t xml:space="preserve">VK420X180X6X12</t>
  </si>
  <si>
    <t xml:space="preserve">HA420X210X8X15</t>
  </si>
  <si>
    <t xml:space="preserve">VK440X180X6X12</t>
  </si>
  <si>
    <t xml:space="preserve">HA440X220X8X15</t>
  </si>
  <si>
    <t xml:space="preserve">W12X26</t>
  </si>
  <si>
    <t xml:space="preserve">HA460X230X8X15</t>
  </si>
  <si>
    <t xml:space="preserve">W14X30</t>
  </si>
  <si>
    <t xml:space="preserve">HA480X240X8X15</t>
  </si>
  <si>
    <t xml:space="preserve">W16X31</t>
  </si>
  <si>
    <t xml:space="preserve">W16X40</t>
  </si>
  <si>
    <t xml:space="preserve">HA520X260X10X15</t>
  </si>
  <si>
    <t xml:space="preserve">W18X35</t>
  </si>
  <si>
    <t xml:space="preserve">HA540X270X10X15</t>
  </si>
  <si>
    <t xml:space="preserve">W18X50</t>
  </si>
  <si>
    <t xml:space="preserve">W10X49</t>
  </si>
  <si>
    <t xml:space="preserve">W21X44</t>
  </si>
  <si>
    <t xml:space="preserve">W12X65</t>
  </si>
  <si>
    <t xml:space="preserve">W21X62</t>
  </si>
  <si>
    <t xml:space="preserve">W12X96</t>
  </si>
  <si>
    <t xml:space="preserve">W24X55</t>
  </si>
  <si>
    <t xml:space="preserve">W14X90</t>
  </si>
  <si>
    <t xml:space="preserve">W24X76</t>
  </si>
  <si>
    <t xml:space="preserve">W14X120</t>
  </si>
  <si>
    <t xml:space="preserve">Coordenadas de las vistas (normalizadas a ±1). No editar.</t>
  </si>
  <si>
    <t xml:space="preserve">Placa</t>
  </si>
  <si>
    <t xml:space="preserve">Rig. sup</t>
  </si>
  <si>
    <t xml:space="preserve">Rig. inf</t>
  </si>
  <si>
    <t xml:space="preserve">Pernos tracción</t>
  </si>
  <si>
    <t xml:space="preserve">Pernos compresión</t>
  </si>
  <si>
    <t xml:space="preserve">Ala int.</t>
  </si>
  <si>
    <t xml:space="preserve">Ala ext.</t>
  </si>
  <si>
    <t xml:space="preserve">Cont. sup</t>
  </si>
  <si>
    <t xml:space="preserve">Cont. inf</t>
  </si>
  <si>
    <t xml:space="preserve">Placa ext.</t>
  </si>
  <si>
    <t xml:space="preserve">Ala sup viga</t>
  </si>
  <si>
    <t xml:space="preserve">Ala inf viga</t>
  </si>
  <si>
    <t xml:space="preserve">Rig. sup L</t>
  </si>
  <si>
    <t xml:space="preserve">Rig. inf L</t>
  </si>
  <si>
    <t xml:space="preserve">Pernos L</t>
  </si>
  <si>
    <t xml:space="preserve">S frontal</t>
  </si>
  <si>
    <t xml:space="preserve">Lb</t>
  </si>
  <si>
    <t xml:space="preserve">x centro lateral</t>
  </si>
  <si>
    <t xml:space="preserve">S lateral</t>
  </si>
  <si>
    <t xml:space="preserve">Hc/2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</si>
</sst>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"/>
    <numFmt numFmtId="167" formatCode="0"/>
    <numFmt numFmtId="168" formatCode="General"/>
    <numFmt numFmtId="169" formatCode="@"/>
    <numFmt numFmtId="170" formatCode=";;;"/>
    <numFmt numFmtId="171" formatCode="0.00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14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8.5"/>
      <name val="Arial"/>
      <family val="0"/>
      <charset val="1"/>
    </font>
    <font>
      <b val="true"/>
      <sz val="8.5"/>
      <color rgb="FF1F2A44"/>
      <name val="Arial"/>
      <family val="0"/>
      <charset val="1"/>
    </font>
    <font>
      <sz val="7.5"/>
      <color rgb="FF555555"/>
      <name val="Arial"/>
      <family val="0"/>
      <charset val="1"/>
    </font>
    <font>
      <b val="true"/>
      <sz val="9"/>
      <name val="Arial"/>
      <family val="0"/>
      <charset val="1"/>
    </font>
    <font>
      <b val="true"/>
      <sz val="8"/>
      <name val="Arial"/>
      <family val="0"/>
      <charset val="1"/>
    </font>
    <font>
      <sz val="9"/>
      <color rgb="FF0000FF"/>
      <name val="Arial"/>
      <family val="0"/>
      <charset val="1"/>
    </font>
    <font>
      <sz val="8.5"/>
      <name val="Arial"/>
      <family val="0"/>
      <charset val="1"/>
    </font>
    <font>
      <i val="true"/>
      <sz val="7.5"/>
      <color rgb="FFC00000"/>
      <name val="Arial"/>
      <family val="0"/>
      <charset val="1"/>
    </font>
    <font>
      <sz val="8"/>
      <color rgb="FF999999"/>
      <name val="Arial"/>
      <family val="0"/>
      <charset val="1"/>
    </font>
    <font>
      <i val="true"/>
      <sz val="8.5"/>
      <name val="Arial"/>
      <family val="0"/>
      <charset val="1"/>
    </font>
    <font>
      <sz val="8"/>
      <name val="Arial"/>
      <family val="0"/>
      <charset val="1"/>
    </font>
    <font>
      <sz val="10"/>
      <name val="Arial"/>
      <family val="2"/>
    </font>
    <font>
      <sz val="10"/>
      <color rgb="FF000000"/>
      <name val="Calibri"/>
      <family val="2"/>
    </font>
    <font>
      <b val="true"/>
      <sz val="12"/>
      <color rgb="FF1F2A44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color rgb="FF1F2A4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A44"/>
        <bgColor rgb="FF2E3D5C"/>
      </patternFill>
    </fill>
    <fill>
      <patternFill patternType="solid">
        <fgColor rgb="FF2E3D5C"/>
        <bgColor rgb="FF404040"/>
      </patternFill>
    </fill>
    <fill>
      <patternFill patternType="solid">
        <fgColor rgb="FFFFF7D6"/>
        <bgColor rgb="FFF2F4F7"/>
      </patternFill>
    </fill>
    <fill>
      <patternFill patternType="solid">
        <fgColor rgb="FFF2F4F7"/>
        <bgColor rgb="FFFFFFFF"/>
      </patternFill>
    </fill>
    <fill>
      <patternFill patternType="solid">
        <fgColor rgb="FFD9DDE3"/>
        <bgColor rgb="FFD9D9D9"/>
      </patternFill>
    </fill>
    <fill>
      <patternFill patternType="solid">
        <fgColor rgb="FFE4E9F2"/>
        <bgColor rgb="FFE7E7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4BAC4"/>
      </left>
      <right/>
      <top style="thin">
        <color rgb="FFB4BAC4"/>
      </top>
      <bottom style="thin">
        <color rgb="FFB4BAC4"/>
      </bottom>
      <diagonal/>
    </border>
    <border diagonalUp="false" diagonalDown="false">
      <left style="thin">
        <color rgb="FFB4BAC4"/>
      </left>
      <right style="thin">
        <color rgb="FFB4BAC4"/>
      </right>
      <top style="thin">
        <color rgb="FFB4BAC4"/>
      </top>
      <bottom style="thin">
        <color rgb="FFB4BA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666666"/>
      </font>
      <fill>
        <patternFill>
          <bgColor rgb="FFD9DDE3"/>
        </patternFill>
      </fill>
    </dxf>
    <dxf>
      <font>
        <name val="Arial"/>
        <charset val="1"/>
        <family val="0"/>
        <b val="1"/>
        <color rgb="FFFFFFFF"/>
        <sz val="14"/>
      </font>
      <fill>
        <patternFill>
          <bgColor rgb="FFC00000"/>
        </patternFill>
      </fill>
    </dxf>
    <dxf>
      <font>
        <name val="Arial"/>
        <charset val="1"/>
        <family val="0"/>
        <b val="1"/>
        <color rgb="FF000000"/>
        <sz val="14"/>
      </font>
      <fill>
        <patternFill>
          <bgColor rgb="FFFFC000"/>
        </patternFill>
      </fill>
    </dxf>
    <dxf>
      <font>
        <name val="Arial"/>
        <charset val="1"/>
        <family val="0"/>
        <b val="1"/>
        <color rgb="FFFFFFFF"/>
        <sz val="14"/>
      </font>
      <fill>
        <patternFill>
          <bgColor rgb="FF00B050"/>
        </patternFill>
      </fill>
    </dxf>
    <dxf>
      <font>
        <name val="Arial"/>
        <charset val="1"/>
        <family val="0"/>
        <color rgb="FFA0A0A0"/>
      </font>
      <fill>
        <patternFill>
          <bgColor rgb="FFE7E7E7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4BAC4"/>
      <rgbColor rgb="FFA0A0A0"/>
      <rgbColor rgb="FFA6A6A6"/>
      <rgbColor rgb="FF993366"/>
      <rgbColor rgb="FFFFF7D6"/>
      <rgbColor rgb="FFE4E9F2"/>
      <rgbColor rgb="FF660066"/>
      <rgbColor rgb="FFFF8080"/>
      <rgbColor rgb="FF2F5597"/>
      <rgbColor rgb="FFD9DD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C6EFCE"/>
      <rgbColor rgb="FFFFEB9C"/>
      <rgbColor rgb="FFD9D9D9"/>
      <rgbColor rgb="FFE7E7E7"/>
      <rgbColor rgb="FFCC99FF"/>
      <rgbColor rgb="FFFFC7CE"/>
      <rgbColor rgb="FF3366FF"/>
      <rgbColor rgb="FF33CCCC"/>
      <rgbColor rgb="FF99CC00"/>
      <rgbColor rgb="FFFFC000"/>
      <rgbColor rgb="FFBF9000"/>
      <rgbColor rgb="FFFF6600"/>
      <rgbColor rgb="FF666666"/>
      <rgbColor rgb="FF999999"/>
      <rgbColor rgb="FF1F2A44"/>
      <rgbColor rgb="FF00B050"/>
      <rgbColor rgb="FF003300"/>
      <rgbColor rgb="FF555555"/>
      <rgbColor rgb="FF9C5700"/>
      <rgbColor rgb="FF993366"/>
      <rgbColor rgb="FF2E3D5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"Placa"</c:f>
              <c:strCache>
                <c:ptCount val="1"/>
                <c:pt idx="0">
                  <c:v>Placa</c:v>
                </c:pt>
              </c:strCache>
            </c:strRef>
          </c:tx>
          <c:spPr>
            <a:solidFill>
              <a:srgbClr val="2f5597"/>
            </a:solidFill>
            <a:ln w="2556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DIBUJO!$D$4:$D$8</c:f>
              <c:numCache>
                <c:formatCode>General</c:formatCode>
                <c:ptCount val="5"/>
                <c:pt idx="0">
                  <c:v>-0.324886289798571</c:v>
                </c:pt>
                <c:pt idx="1">
                  <c:v>-0.324886289798571</c:v>
                </c:pt>
                <c:pt idx="2">
                  <c:v>0.324886289798571</c:v>
                </c:pt>
                <c:pt idx="3">
                  <c:v>0.324886289798571</c:v>
                </c:pt>
                <c:pt idx="4">
                  <c:v>-0.324886289798571</c:v>
                </c:pt>
              </c:numCache>
            </c:numRef>
          </c:xVal>
          <c:yVal>
            <c:numRef>
              <c:f>DIBUJO!$E$4:$E$8</c:f>
              <c:numCache>
                <c:formatCode>General</c:formatCode>
                <c:ptCount val="5"/>
                <c:pt idx="0">
                  <c:v>-0.925925925925926</c:v>
                </c:pt>
                <c:pt idx="1">
                  <c:v>0.925925925925926</c:v>
                </c:pt>
                <c:pt idx="2">
                  <c:v>0.925925925925926</c:v>
                </c:pt>
                <c:pt idx="3">
                  <c:v>-0.925925925925926</c:v>
                </c:pt>
                <c:pt idx="4">
                  <c:v>-0.925925925925926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"Viga"</c:f>
              <c:strCache>
                <c:ptCount val="1"/>
                <c:pt idx="0">
                  <c:v>Viga</c:v>
                </c:pt>
              </c:strCache>
            </c:strRef>
          </c:tx>
          <c:spPr>
            <a:solidFill>
              <a:srgbClr val="1f2a44"/>
            </a:solidFill>
            <a:ln w="19080">
              <a:solidFill>
                <a:srgbClr val="1f2a4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DIBUJO!$G$4:$G$16</c:f>
              <c:numCache>
                <c:formatCode>General</c:formatCode>
                <c:ptCount val="13"/>
                <c:pt idx="0">
                  <c:v>-0.292397660818713</c:v>
                </c:pt>
                <c:pt idx="1">
                  <c:v>0.292397660818713</c:v>
                </c:pt>
                <c:pt idx="2">
                  <c:v>0.292397660818713</c:v>
                </c:pt>
                <c:pt idx="3">
                  <c:v>0.00974658869395711</c:v>
                </c:pt>
                <c:pt idx="4">
                  <c:v>0.00974658869395711</c:v>
                </c:pt>
                <c:pt idx="5">
                  <c:v>0.292397660818713</c:v>
                </c:pt>
                <c:pt idx="6">
                  <c:v>0.292397660818713</c:v>
                </c:pt>
                <c:pt idx="7">
                  <c:v>-0.292397660818713</c:v>
                </c:pt>
                <c:pt idx="8">
                  <c:v>-0.292397660818713</c:v>
                </c:pt>
                <c:pt idx="9">
                  <c:v>-0.00974658869395711</c:v>
                </c:pt>
                <c:pt idx="10">
                  <c:v>-0.00974658869395711</c:v>
                </c:pt>
                <c:pt idx="11">
                  <c:v>-0.292397660818713</c:v>
                </c:pt>
                <c:pt idx="12">
                  <c:v>-0.292397660818713</c:v>
                </c:pt>
              </c:numCache>
            </c:numRef>
          </c:xVal>
          <c:yVal>
            <c:numRef>
              <c:f>DIBUJO!$H$4:$H$16</c:f>
              <c:numCache>
                <c:formatCode>General</c:formatCode>
                <c:ptCount val="13"/>
                <c:pt idx="0">
                  <c:v>0.649772579597141</c:v>
                </c:pt>
                <c:pt idx="1">
                  <c:v>0.649772579597141</c:v>
                </c:pt>
                <c:pt idx="2">
                  <c:v>0.610786224821313</c:v>
                </c:pt>
                <c:pt idx="3">
                  <c:v>0.610786224821313</c:v>
                </c:pt>
                <c:pt idx="4">
                  <c:v>-0.610786224821313</c:v>
                </c:pt>
                <c:pt idx="5">
                  <c:v>-0.610786224821313</c:v>
                </c:pt>
                <c:pt idx="6">
                  <c:v>-0.649772579597141</c:v>
                </c:pt>
                <c:pt idx="7">
                  <c:v>-0.649772579597141</c:v>
                </c:pt>
                <c:pt idx="8">
                  <c:v>-0.610786224821313</c:v>
                </c:pt>
                <c:pt idx="9">
                  <c:v>-0.610786224821313</c:v>
                </c:pt>
                <c:pt idx="10">
                  <c:v>0.610786224821313</c:v>
                </c:pt>
                <c:pt idx="11">
                  <c:v>0.610786224821313</c:v>
                </c:pt>
                <c:pt idx="12">
                  <c:v>0.649772579597141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"Rig. sup"</c:f>
              <c:strCache>
                <c:ptCount val="1"/>
                <c:pt idx="0">
                  <c:v>Rig. sup</c:v>
                </c:pt>
              </c:strCache>
            </c:strRef>
          </c:tx>
          <c:spPr>
            <a:solidFill>
              <a:srgbClr val="bf9000"/>
            </a:solidFill>
            <a:ln w="15840">
              <a:solidFill>
                <a:srgbClr val="bf9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DIBUJO!$J$4:$J$7</c:f>
              <c:numCache>
                <c:formatCode>General</c:formatCode>
                <c:ptCount val="4"/>
                <c:pt idx="0">
                  <c:v>-0</c:v>
                </c:pt>
                <c:pt idx="1">
                  <c:v>-0</c:v>
                </c:pt>
                <c:pt idx="2">
                  <c:v>0</c:v>
                </c:pt>
                <c:pt idx="3">
                  <c:v>0</c:v>
                </c:pt>
              </c:numCache>
            </c:numRef>
          </c:xVal>
          <c:yVal>
            <c:numRef>
              <c:f>DIBUJO!$K$4:$K$7</c:f>
              <c:numCache>
                <c:formatCode>General</c:formatCode>
                <c:ptCount val="4"/>
                <c:pt idx="0">
                  <c:v>0.649772579597141</c:v>
                </c:pt>
                <c:pt idx="1">
                  <c:v>0.649772579597141</c:v>
                </c:pt>
                <c:pt idx="2">
                  <c:v>0.649772579597141</c:v>
                </c:pt>
                <c:pt idx="3">
                  <c:v>0.649772579597141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"Rig. inf"</c:f>
              <c:strCache>
                <c:ptCount val="1"/>
                <c:pt idx="0">
                  <c:v>Rig. inf</c:v>
                </c:pt>
              </c:strCache>
            </c:strRef>
          </c:tx>
          <c:spPr>
            <a:solidFill>
              <a:srgbClr val="bf9000"/>
            </a:solidFill>
            <a:ln w="15840">
              <a:solidFill>
                <a:srgbClr val="bf9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DIBUJO!$M$4:$M$7</c:f>
              <c:numCache>
                <c:formatCode>General</c:formatCode>
                <c:ptCount val="4"/>
                <c:pt idx="0">
                  <c:v>-0</c:v>
                </c:pt>
                <c:pt idx="1">
                  <c:v>-0</c:v>
                </c:pt>
                <c:pt idx="2">
                  <c:v>0</c:v>
                </c:pt>
                <c:pt idx="3">
                  <c:v>0</c:v>
                </c:pt>
              </c:numCache>
            </c:numRef>
          </c:xVal>
          <c:yVal>
            <c:numRef>
              <c:f>DIBUJO!$N$4:$N$7</c:f>
              <c:numCache>
                <c:formatCode>General</c:formatCode>
                <c:ptCount val="4"/>
                <c:pt idx="0">
                  <c:v>-0.649772579597141</c:v>
                </c:pt>
                <c:pt idx="1">
                  <c:v>-0.649772579597141</c:v>
                </c:pt>
                <c:pt idx="2">
                  <c:v>-0.649772579597141</c:v>
                </c:pt>
                <c:pt idx="3">
                  <c:v>-0.649772579597141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"Pernos tracción"</c:f>
              <c:strCache>
                <c:ptCount val="1"/>
                <c:pt idx="0">
                  <c:v>Pernos tracción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DIBUJO!$P$4:$P$11</c:f>
              <c:numCache>
                <c:formatCode>General</c:formatCode>
                <c:ptCount val="8"/>
                <c:pt idx="0">
                  <c:v>-0.178687459389214</c:v>
                </c:pt>
                <c:pt idx="1">
                  <c:v>0.178687459389214</c:v>
                </c:pt>
                <c:pt idx="2">
                  <c:v>-0.178687459389214</c:v>
                </c:pt>
                <c:pt idx="3">
                  <c:v>0.178687459389214</c:v>
                </c:pt>
                <c:pt idx="4">
                  <c:v>-0.178687459389214</c:v>
                </c:pt>
                <c:pt idx="5">
                  <c:v>0.178687459389214</c:v>
                </c:pt>
                <c:pt idx="6">
                  <c:v>-0.178687459389214</c:v>
                </c:pt>
                <c:pt idx="7">
                  <c:v>0.178687459389214</c:v>
                </c:pt>
              </c:numCache>
            </c:numRef>
          </c:xVal>
          <c:yVal>
            <c:numRef>
              <c:f>DIBUJO!$Q$4:$Q$11</c:f>
              <c:numCache>
                <c:formatCode>General</c:formatCode>
                <c:ptCount val="8"/>
                <c:pt idx="0">
                  <c:v>0.795971410006498</c:v>
                </c:pt>
                <c:pt idx="1">
                  <c:v>0.795971410006498</c:v>
                </c:pt>
                <c:pt idx="2">
                  <c:v>0.795971410006498</c:v>
                </c:pt>
                <c:pt idx="3">
                  <c:v>0.795971410006498</c:v>
                </c:pt>
                <c:pt idx="4">
                  <c:v>0.464587394411956</c:v>
                </c:pt>
                <c:pt idx="5">
                  <c:v>0.464587394411956</c:v>
                </c:pt>
                <c:pt idx="6">
                  <c:v>0.464587394411956</c:v>
                </c:pt>
                <c:pt idx="7">
                  <c:v>0.464587394411956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"Pernos compresión"</c:f>
              <c:strCache>
                <c:ptCount val="1"/>
                <c:pt idx="0">
                  <c:v>Pernos compresión</c:v>
                </c:pt>
              </c:strCache>
            </c:strRef>
          </c:tx>
          <c:spPr>
            <a:solidFill>
              <a:srgbClr val="00b05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00b05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DIBUJO!$S$4:$S$11</c:f>
              <c:numCache>
                <c:formatCode>General</c:formatCode>
                <c:ptCount val="8"/>
                <c:pt idx="0">
                  <c:v>-0.178687459389214</c:v>
                </c:pt>
                <c:pt idx="1">
                  <c:v>0.178687459389214</c:v>
                </c:pt>
                <c:pt idx="2">
                  <c:v>-0.178687459389214</c:v>
                </c:pt>
                <c:pt idx="3">
                  <c:v>0.178687459389214</c:v>
                </c:pt>
                <c:pt idx="4">
                  <c:v>-0.178687459389214</c:v>
                </c:pt>
                <c:pt idx="5">
                  <c:v>0.178687459389214</c:v>
                </c:pt>
                <c:pt idx="6">
                  <c:v>-0.178687459389214</c:v>
                </c:pt>
                <c:pt idx="7">
                  <c:v>0.178687459389214</c:v>
                </c:pt>
              </c:numCache>
            </c:numRef>
          </c:xVal>
          <c:yVal>
            <c:numRef>
              <c:f>DIBUJO!$T$4:$T$11</c:f>
              <c:numCache>
                <c:formatCode>General</c:formatCode>
                <c:ptCount val="8"/>
                <c:pt idx="0">
                  <c:v>-0.795971410006498</c:v>
                </c:pt>
                <c:pt idx="1">
                  <c:v>-0.795971410006498</c:v>
                </c:pt>
                <c:pt idx="2">
                  <c:v>-0.795971410006498</c:v>
                </c:pt>
                <c:pt idx="3">
                  <c:v>-0.795971410006498</c:v>
                </c:pt>
                <c:pt idx="4">
                  <c:v>-0.464587394411956</c:v>
                </c:pt>
                <c:pt idx="5">
                  <c:v>-0.464587394411956</c:v>
                </c:pt>
                <c:pt idx="6">
                  <c:v>-0.464587394411956</c:v>
                </c:pt>
                <c:pt idx="7">
                  <c:v>-0.464587394411956</c:v>
                </c:pt>
              </c:numCache>
            </c:numRef>
          </c:yVal>
          <c:smooth val="0"/>
        </c:ser>
        <c:axId val="98764063"/>
        <c:axId val="84848850"/>
      </c:scatterChart>
      <c:valAx>
        <c:axId val="98764063"/>
        <c:scaling>
          <c:orientation val="minMax"/>
          <c:max val="1"/>
          <c:min val="-1"/>
        </c:scaling>
        <c:delete val="0"/>
        <c:axPos val="b"/>
        <c:numFmt formatCode=";;;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848850"/>
        <c:crosses val="autoZero"/>
        <c:crossBetween val="midCat"/>
      </c:valAx>
      <c:valAx>
        <c:axId val="84848850"/>
        <c:scaling>
          <c:orientation val="minMax"/>
          <c:max val="1"/>
          <c:min val="-1"/>
        </c:scaling>
        <c:delete val="0"/>
        <c:axPos val="l"/>
        <c:numFmt formatCode=";;;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76406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"Columna"</c:f>
              <c:strCache>
                <c:ptCount val="1"/>
                <c:pt idx="0">
                  <c:v>Columna</c:v>
                </c:pt>
              </c:strCache>
            </c:strRef>
          </c:tx>
          <c:spPr>
            <a:solidFill>
              <a:srgbClr val="a6a6a6"/>
            </a:solidFill>
            <a:ln w="1584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DIBUJO!$V$4:$V$8</c:f>
              <c:numCache>
                <c:formatCode>General</c:formatCode>
                <c:ptCount val="5"/>
                <c:pt idx="0">
                  <c:v>-0.952380952380952</c:v>
                </c:pt>
                <c:pt idx="1">
                  <c:v>-0.952380952380952</c:v>
                </c:pt>
                <c:pt idx="2">
                  <c:v>0.0345423143350605</c:v>
                </c:pt>
                <c:pt idx="3">
                  <c:v>0.0345423143350605</c:v>
                </c:pt>
                <c:pt idx="4">
                  <c:v>-0.952380952380952</c:v>
                </c:pt>
              </c:numCache>
            </c:numRef>
          </c:xVal>
          <c:yVal>
            <c:numRef>
              <c:f>DIBUJO!$W$4:$W$8</c:f>
              <c:numCache>
                <c:formatCode>General</c:formatCode>
                <c:ptCount val="5"/>
                <c:pt idx="0">
                  <c:v>-0.720453984702689</c:v>
                </c:pt>
                <c:pt idx="1">
                  <c:v>0.720453984702689</c:v>
                </c:pt>
                <c:pt idx="2">
                  <c:v>0.720453984702689</c:v>
                </c:pt>
                <c:pt idx="3">
                  <c:v>-0.720453984702689</c:v>
                </c:pt>
                <c:pt idx="4">
                  <c:v>-0.720453984702689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"Ala int."</c:f>
              <c:strCache>
                <c:ptCount val="1"/>
                <c:pt idx="0">
                  <c:v>Ala int.</c:v>
                </c:pt>
              </c:strCache>
            </c:strRef>
          </c:tx>
          <c:spPr>
            <a:solidFill>
              <a:srgbClr val="a6a6a6"/>
            </a:solidFill>
            <a:ln w="936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DIBUJO!$Y$4:$Y$5</c:f>
              <c:numCache>
                <c:formatCode>General</c:formatCode>
                <c:ptCount val="2"/>
                <c:pt idx="0">
                  <c:v>0.00493461633358006</c:v>
                </c:pt>
                <c:pt idx="1">
                  <c:v>0.00493461633358006</c:v>
                </c:pt>
              </c:numCache>
            </c:numRef>
          </c:xVal>
          <c:yVal>
            <c:numRef>
              <c:f>DIBUJO!$Z$4:$Z$5</c:f>
              <c:numCache>
                <c:formatCode>General</c:formatCode>
                <c:ptCount val="2"/>
                <c:pt idx="0">
                  <c:v>-0.720453984702689</c:v>
                </c:pt>
                <c:pt idx="1">
                  <c:v>0.720453984702689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"Ala ext."</c:f>
              <c:strCache>
                <c:ptCount val="1"/>
                <c:pt idx="0">
                  <c:v>Ala ext.</c:v>
                </c:pt>
              </c:strCache>
            </c:strRef>
          </c:tx>
          <c:spPr>
            <a:solidFill>
              <a:srgbClr val="a6a6a6"/>
            </a:solidFill>
            <a:ln w="936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DIBUJO!$AB$4:$AB$5</c:f>
              <c:numCache>
                <c:formatCode>General</c:formatCode>
                <c:ptCount val="2"/>
                <c:pt idx="0">
                  <c:v>-0.922773254379472</c:v>
                </c:pt>
                <c:pt idx="1">
                  <c:v>-0.922773254379472</c:v>
                </c:pt>
              </c:numCache>
            </c:numRef>
          </c:xVal>
          <c:yVal>
            <c:numRef>
              <c:f>DIBUJO!$AC$4:$AC$5</c:f>
              <c:numCache>
                <c:formatCode>General</c:formatCode>
                <c:ptCount val="2"/>
                <c:pt idx="0">
                  <c:v>-0.720453984702689</c:v>
                </c:pt>
                <c:pt idx="1">
                  <c:v>0.720453984702689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"Cont. sup"</c:f>
              <c:strCache>
                <c:ptCount val="1"/>
                <c:pt idx="0">
                  <c:v>Cont. sup</c:v>
                </c:pt>
              </c:strCache>
            </c:strRef>
          </c:tx>
          <c:spPr>
            <a:solidFill>
              <a:srgbClr val="bf9000"/>
            </a:solidFill>
            <a:ln w="19080">
              <a:solidFill>
                <a:srgbClr val="bf9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DIBUJO!$AE$4:$AE$5</c:f>
              <c:numCache>
                <c:formatCode>General</c:formatCode>
                <c:ptCount val="2"/>
                <c:pt idx="0">
                  <c:v>-0.922773254379472</c:v>
                </c:pt>
                <c:pt idx="1">
                  <c:v>0.00493461633358006</c:v>
                </c:pt>
              </c:numCache>
            </c:numRef>
          </c:xVal>
          <c:yVal>
            <c:numRef>
              <c:f>DIBUJO!$AF$4:$AF$5</c:f>
              <c:numCache>
                <c:formatCode>General</c:formatCode>
                <c:ptCount val="2"/>
                <c:pt idx="0">
                  <c:v>0.382926227485813</c:v>
                </c:pt>
                <c:pt idx="1">
                  <c:v>0.382926227485813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"Cont. inf"</c:f>
              <c:strCache>
                <c:ptCount val="1"/>
                <c:pt idx="0">
                  <c:v>Cont. inf</c:v>
                </c:pt>
              </c:strCache>
            </c:strRef>
          </c:tx>
          <c:spPr>
            <a:solidFill>
              <a:srgbClr val="bf9000"/>
            </a:solidFill>
            <a:ln w="19080">
              <a:solidFill>
                <a:srgbClr val="bf9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DIBUJO!$AH$4:$AH$5</c:f>
              <c:numCache>
                <c:formatCode>General</c:formatCode>
                <c:ptCount val="2"/>
                <c:pt idx="0">
                  <c:v>-0.922773254379472</c:v>
                </c:pt>
                <c:pt idx="1">
                  <c:v>0.00493461633358006</c:v>
                </c:pt>
              </c:numCache>
            </c:numRef>
          </c:xVal>
          <c:yVal>
            <c:numRef>
              <c:f>DIBUJO!$AI$4:$AI$5</c:f>
              <c:numCache>
                <c:formatCode>General</c:formatCode>
                <c:ptCount val="2"/>
                <c:pt idx="0">
                  <c:v>-0.382926227485813</c:v>
                </c:pt>
                <c:pt idx="1">
                  <c:v>-0.382926227485813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"Placa ext."</c:f>
              <c:strCache>
                <c:ptCount val="1"/>
                <c:pt idx="0">
                  <c:v>Placa ext.</c:v>
                </c:pt>
              </c:strCache>
            </c:strRef>
          </c:tx>
          <c:spPr>
            <a:solidFill>
              <a:srgbClr val="2f5597"/>
            </a:solidFill>
            <a:ln w="2556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DIBUJO!$AK$4:$AK$8</c:f>
              <c:numCache>
                <c:formatCode>General</c:formatCode>
                <c:ptCount val="5"/>
                <c:pt idx="0">
                  <c:v>0.0345423143350605</c:v>
                </c:pt>
                <c:pt idx="1">
                  <c:v>0.0345423143350605</c:v>
                </c:pt>
                <c:pt idx="2">
                  <c:v>0.0838884776708611</c:v>
                </c:pt>
                <c:pt idx="3">
                  <c:v>0.0838884776708611</c:v>
                </c:pt>
                <c:pt idx="4">
                  <c:v>0.0345423143350605</c:v>
                </c:pt>
              </c:numCache>
            </c:numRef>
          </c:xVal>
          <c:yVal>
            <c:numRef>
              <c:f>DIBUJO!$AL$4:$AL$8</c:f>
              <c:numCache>
                <c:formatCode>General</c:formatCode>
                <c:ptCount val="5"/>
                <c:pt idx="0">
                  <c:v>-0.562546262028127</c:v>
                </c:pt>
                <c:pt idx="1">
                  <c:v>0.562546262028127</c:v>
                </c:pt>
                <c:pt idx="2">
                  <c:v>0.562546262028127</c:v>
                </c:pt>
                <c:pt idx="3">
                  <c:v>-0.562546262028127</c:v>
                </c:pt>
                <c:pt idx="4">
                  <c:v>-0.562546262028127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"Ala sup viga"</c:f>
              <c:strCache>
                <c:ptCount val="1"/>
                <c:pt idx="0">
                  <c:v>Ala sup viga</c:v>
                </c:pt>
              </c:strCache>
            </c:strRef>
          </c:tx>
          <c:spPr>
            <a:solidFill>
              <a:srgbClr val="1f2a44"/>
            </a:solidFill>
            <a:ln w="19080">
              <a:solidFill>
                <a:srgbClr val="1f2a4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DIBUJO!$AN$4:$AN$8</c:f>
              <c:numCache>
                <c:formatCode>General</c:formatCode>
                <c:ptCount val="5"/>
                <c:pt idx="0">
                  <c:v>0.0838884776708611</c:v>
                </c:pt>
                <c:pt idx="1">
                  <c:v>0.0838884776708611</c:v>
                </c:pt>
                <c:pt idx="2">
                  <c:v>0.952380952380952</c:v>
                </c:pt>
                <c:pt idx="3">
                  <c:v>0.952380952380952</c:v>
                </c:pt>
                <c:pt idx="4">
                  <c:v>0.0838884776708611</c:v>
                </c:pt>
              </c:numCache>
            </c:numRef>
          </c:xVal>
          <c:yVal>
            <c:numRef>
              <c:f>DIBUJO!$AO$4:$AO$8</c:f>
              <c:numCache>
                <c:formatCode>General</c:formatCode>
                <c:ptCount val="5"/>
                <c:pt idx="0">
                  <c:v>0.371083148285221</c:v>
                </c:pt>
                <c:pt idx="1">
                  <c:v>0.394769306686405</c:v>
                </c:pt>
                <c:pt idx="2">
                  <c:v>0.394769306686405</c:v>
                </c:pt>
                <c:pt idx="3">
                  <c:v>0.371083148285221</c:v>
                </c:pt>
                <c:pt idx="4">
                  <c:v>0.371083148285221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"Ala inf viga"</c:f>
              <c:strCache>
                <c:ptCount val="1"/>
                <c:pt idx="0">
                  <c:v>Ala inf viga</c:v>
                </c:pt>
              </c:strCache>
            </c:strRef>
          </c:tx>
          <c:spPr>
            <a:solidFill>
              <a:srgbClr val="1f2a44"/>
            </a:solidFill>
            <a:ln w="19080">
              <a:solidFill>
                <a:srgbClr val="1f2a4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DIBUJO!$AQ$4:$AQ$8</c:f>
              <c:numCache>
                <c:formatCode>General</c:formatCode>
                <c:ptCount val="5"/>
                <c:pt idx="0">
                  <c:v>0.0838884776708611</c:v>
                </c:pt>
                <c:pt idx="1">
                  <c:v>0.0838884776708611</c:v>
                </c:pt>
                <c:pt idx="2">
                  <c:v>0.952380952380952</c:v>
                </c:pt>
                <c:pt idx="3">
                  <c:v>0.952380952380952</c:v>
                </c:pt>
                <c:pt idx="4">
                  <c:v>0.0838884776708611</c:v>
                </c:pt>
              </c:numCache>
            </c:numRef>
          </c:xVal>
          <c:yVal>
            <c:numRef>
              <c:f>DIBUJO!$AR$4:$AR$8</c:f>
              <c:numCache>
                <c:formatCode>General</c:formatCode>
                <c:ptCount val="5"/>
                <c:pt idx="0">
                  <c:v>-0.394769306686405</c:v>
                </c:pt>
                <c:pt idx="1">
                  <c:v>-0.371083148285221</c:v>
                </c:pt>
                <c:pt idx="2">
                  <c:v>-0.371083148285221</c:v>
                </c:pt>
                <c:pt idx="3">
                  <c:v>-0.394769306686405</c:v>
                </c:pt>
                <c:pt idx="4">
                  <c:v>-0.394769306686405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"Rig. sup L"</c:f>
              <c:strCache>
                <c:ptCount val="1"/>
                <c:pt idx="0">
                  <c:v>Rig. sup L</c:v>
                </c:pt>
              </c:strCache>
            </c:strRef>
          </c:tx>
          <c:spPr>
            <a:solidFill>
              <a:srgbClr val="bf9000"/>
            </a:solidFill>
            <a:ln w="15840">
              <a:solidFill>
                <a:srgbClr val="bf9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DIBUJO!$AT$4:$AT$6</c:f>
              <c:numCache>
                <c:formatCode>General</c:formatCode>
                <c:ptCount val="3"/>
                <c:pt idx="0">
                  <c:v>0.0838884776708611</c:v>
                </c:pt>
                <c:pt idx="1">
                  <c:v>0.0838884776708611</c:v>
                </c:pt>
                <c:pt idx="2">
                  <c:v>0.0838884776708611</c:v>
                </c:pt>
              </c:numCache>
            </c:numRef>
          </c:xVal>
          <c:yVal>
            <c:numRef>
              <c:f>DIBUJO!$AU$4:$AU$6</c:f>
              <c:numCache>
                <c:formatCode>General</c:formatCode>
                <c:ptCount val="3"/>
                <c:pt idx="0">
                  <c:v>0.394769306686405</c:v>
                </c:pt>
                <c:pt idx="1">
                  <c:v>0.394769306686405</c:v>
                </c:pt>
                <c:pt idx="2">
                  <c:v>0.394769306686405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"Rig. inf L"</c:f>
              <c:strCache>
                <c:ptCount val="1"/>
                <c:pt idx="0">
                  <c:v>Rig. inf L</c:v>
                </c:pt>
              </c:strCache>
            </c:strRef>
          </c:tx>
          <c:spPr>
            <a:solidFill>
              <a:srgbClr val="bf9000"/>
            </a:solidFill>
            <a:ln w="15840">
              <a:solidFill>
                <a:srgbClr val="bf9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DIBUJO!$AW$4:$AW$6</c:f>
              <c:numCache>
                <c:formatCode>General</c:formatCode>
                <c:ptCount val="3"/>
                <c:pt idx="0">
                  <c:v>0.0838884776708611</c:v>
                </c:pt>
                <c:pt idx="1">
                  <c:v>0.0838884776708611</c:v>
                </c:pt>
                <c:pt idx="2">
                  <c:v>0.0838884776708611</c:v>
                </c:pt>
              </c:numCache>
            </c:numRef>
          </c:xVal>
          <c:yVal>
            <c:numRef>
              <c:f>DIBUJO!$AX$4:$AX$6</c:f>
              <c:numCache>
                <c:formatCode>General</c:formatCode>
                <c:ptCount val="3"/>
                <c:pt idx="0">
                  <c:v>-0.394769306686405</c:v>
                </c:pt>
                <c:pt idx="1">
                  <c:v>-0.394769306686405</c:v>
                </c:pt>
                <c:pt idx="2">
                  <c:v>-0.394769306686405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"Pernos L"</c:f>
              <c:strCache>
                <c:ptCount val="1"/>
                <c:pt idx="0">
                  <c:v>Pernos L</c:v>
                </c:pt>
              </c:strCache>
            </c:strRef>
          </c:tx>
          <c:spPr>
            <a:solidFill>
              <a:srgbClr val="404040"/>
            </a:solidFill>
            <a:ln w="28440">
              <a:noFill/>
            </a:ln>
          </c:spPr>
          <c:marker>
            <c:symbol val="dash"/>
            <c:size val="11"/>
            <c:spPr>
              <a:solidFill>
                <a:srgbClr val="40404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DIBUJO!$AZ$4:$AZ$11</c:f>
              <c:numCache>
                <c:formatCode>General</c:formatCode>
                <c:ptCount val="8"/>
                <c:pt idx="0">
                  <c:v>0.0444115470022206</c:v>
                </c:pt>
                <c:pt idx="1">
                  <c:v>0.0444115470022206</c:v>
                </c:pt>
                <c:pt idx="2">
                  <c:v>0.0444115470022206</c:v>
                </c:pt>
                <c:pt idx="3">
                  <c:v>0.0444115470022206</c:v>
                </c:pt>
                <c:pt idx="4">
                  <c:v>0.0444115470022206</c:v>
                </c:pt>
                <c:pt idx="5">
                  <c:v>0.0444115470022206</c:v>
                </c:pt>
                <c:pt idx="6">
                  <c:v>0.0444115470022206</c:v>
                </c:pt>
                <c:pt idx="7">
                  <c:v>0.0444115470022206</c:v>
                </c:pt>
              </c:numCache>
            </c:numRef>
          </c:xVal>
          <c:yVal>
            <c:numRef>
              <c:f>DIBUJO!$BA$4:$BA$11</c:f>
              <c:numCache>
                <c:formatCode>General</c:formatCode>
                <c:ptCount val="8"/>
                <c:pt idx="0">
                  <c:v>0.483592400690846</c:v>
                </c:pt>
                <c:pt idx="1">
                  <c:v>0.483592400690846</c:v>
                </c:pt>
                <c:pt idx="2">
                  <c:v>0.28226005428078</c:v>
                </c:pt>
                <c:pt idx="3">
                  <c:v>0.28226005428078</c:v>
                </c:pt>
                <c:pt idx="4">
                  <c:v>-0.483592400690846</c:v>
                </c:pt>
                <c:pt idx="5">
                  <c:v>-0.483592400690846</c:v>
                </c:pt>
                <c:pt idx="6">
                  <c:v>-0.28226005428078</c:v>
                </c:pt>
                <c:pt idx="7">
                  <c:v>-0.28226005428078</c:v>
                </c:pt>
              </c:numCache>
            </c:numRef>
          </c:yVal>
          <c:smooth val="0"/>
        </c:ser>
        <c:axId val="82126846"/>
        <c:axId val="56639412"/>
      </c:scatterChart>
      <c:valAx>
        <c:axId val="82126846"/>
        <c:scaling>
          <c:orientation val="minMax"/>
          <c:max val="1"/>
          <c:min val="-1"/>
        </c:scaling>
        <c:delete val="0"/>
        <c:axPos val="b"/>
        <c:numFmt formatCode=";;;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639412"/>
        <c:crosses val="autoZero"/>
        <c:crossBetween val="midCat"/>
      </c:valAx>
      <c:valAx>
        <c:axId val="56639412"/>
        <c:scaling>
          <c:orientation val="minMax"/>
          <c:max val="1"/>
          <c:min val="-1"/>
        </c:scaling>
        <c:delete val="0"/>
        <c:axPos val="l"/>
        <c:numFmt formatCode=";;;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12684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6</xdr:row>
      <xdr:rowOff>0</xdr:rowOff>
    </xdr:from>
    <xdr:to>
      <xdr:col>8</xdr:col>
      <xdr:colOff>401760</xdr:colOff>
      <xdr:row>18</xdr:row>
      <xdr:rowOff>89640</xdr:rowOff>
    </xdr:to>
    <xdr:graphicFrame>
      <xdr:nvGraphicFramePr>
        <xdr:cNvPr id="0" name="Chart 1"/>
        <xdr:cNvGraphicFramePr/>
      </xdr:nvGraphicFramePr>
      <xdr:xfrm>
        <a:off x="4829040" y="1276200"/>
        <a:ext cx="2375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49680</xdr:colOff>
      <xdr:row>18</xdr:row>
      <xdr:rowOff>89640</xdr:rowOff>
    </xdr:to>
    <xdr:graphicFrame>
      <xdr:nvGraphicFramePr>
        <xdr:cNvPr id="1" name="Chart 2"/>
        <xdr:cNvGraphicFramePr/>
      </xdr:nvGraphicFramePr>
      <xdr:xfrm>
        <a:off x="7578000" y="1276200"/>
        <a:ext cx="2375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U66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33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0.51"/>
    <col collapsed="false" customWidth="true" hidden="false" outlineLevel="0" max="6" min="6" style="0" width="1.51"/>
    <col collapsed="false" customWidth="true" hidden="false" outlineLevel="0" max="7" min="7" style="0" width="17"/>
    <col collapsed="false" customWidth="true" hidden="false" outlineLevel="0" max="12" min="8" style="0" width="11"/>
    <col collapsed="false" customWidth="true" hidden="false" outlineLevel="0" max="13" min="13" style="0" width="1.51"/>
    <col collapsed="false" customWidth="true" hidden="false" outlineLevel="0" max="14" min="14" style="0" width="36"/>
    <col collapsed="false" customWidth="true" hidden="false" outlineLevel="0" max="15" min="15" style="0" width="17"/>
    <col collapsed="false" customWidth="true" hidden="false" outlineLevel="0" max="17" min="16" style="0" width="10"/>
    <col collapsed="false" customWidth="true" hidden="false" outlineLevel="0" max="18" min="18" style="0" width="11"/>
    <col collapsed="false" customWidth="true" hidden="false" outlineLevel="0" max="19" min="19" style="0" width="8"/>
    <col collapsed="false" customWidth="true" hidden="false" outlineLevel="0" max="21" min="20" style="0" width="12"/>
  </cols>
  <sheetData>
    <row r="2" customFormat="false" ht="25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5" hidden="false" customHeight="false" outlineLevel="0" collapsed="false">
      <c r="B4" s="3" t="s">
        <v>2</v>
      </c>
      <c r="C4" s="4" t="s">
        <v>3</v>
      </c>
      <c r="D4" s="3" t="s">
        <v>4</v>
      </c>
      <c r="E4" s="5" t="s">
        <v>3</v>
      </c>
      <c r="G4" s="3" t="s">
        <v>5</v>
      </c>
    </row>
    <row r="6" customFormat="false" ht="15" hidden="false" customHeight="false" outlineLevel="0" collapsed="false">
      <c r="B6" s="2" t="s">
        <v>6</v>
      </c>
      <c r="C6" s="2"/>
      <c r="D6" s="2"/>
      <c r="E6" s="2"/>
      <c r="G6" s="6" t="s">
        <v>7</v>
      </c>
      <c r="H6" s="6"/>
      <c r="I6" s="6"/>
      <c r="J6" s="6" t="s">
        <v>8</v>
      </c>
      <c r="K6" s="6"/>
      <c r="L6" s="6"/>
      <c r="N6" s="2" t="s">
        <v>9</v>
      </c>
      <c r="O6" s="2"/>
      <c r="P6" s="2"/>
      <c r="Q6" s="2"/>
      <c r="R6" s="2"/>
      <c r="S6" s="2"/>
      <c r="T6" s="2"/>
      <c r="U6" s="2"/>
    </row>
    <row r="7" customFormat="false" ht="15" hidden="false" customHeight="false" outlineLevel="0" collapsed="false">
      <c r="B7" s="7" t="s">
        <v>10</v>
      </c>
      <c r="C7" s="8" t="s">
        <v>11</v>
      </c>
      <c r="D7" s="8"/>
      <c r="E7" s="8"/>
      <c r="N7" s="9" t="str">
        <f aca="false">IF(COUNT(S12:S44)=0,"SIN CARGAS",IF(MAX(S12:S44)&gt;1,"✖  NO CUMPLE — ratio máx. "&amp;TEXT(MAX(S12:S44),"0.00"),IF(MAX(S12:S44)&gt;lim_verde,"▲  CUMPLE AL LÍMITE — ratio máx. "&amp;TEXT(MAX(S12:S44),"0.00"),"✔  CUMPLE — ratio máx. "&amp;TEXT(MAX(S12:S44),"0.00"))))</f>
        <v>✔  CUMPLE — ratio máx. 0.90</v>
      </c>
      <c r="O7" s="9"/>
      <c r="P7" s="9"/>
      <c r="Q7" s="9"/>
      <c r="R7" s="9"/>
      <c r="S7" s="9"/>
      <c r="T7" s="9"/>
      <c r="U7" s="9"/>
    </row>
    <row r="8" customFormat="false" ht="15" hidden="false" customHeight="false" outlineLevel="0" collapsed="false">
      <c r="B8" s="7" t="s">
        <v>12</v>
      </c>
      <c r="C8" s="8" t="s">
        <v>13</v>
      </c>
      <c r="D8" s="8"/>
      <c r="E8" s="8"/>
      <c r="N8" s="9"/>
      <c r="O8" s="9"/>
      <c r="P8" s="9"/>
      <c r="Q8" s="9"/>
      <c r="R8" s="9"/>
      <c r="S8" s="9"/>
      <c r="T8" s="9"/>
      <c r="U8" s="9"/>
    </row>
    <row r="9" customFormat="false" ht="15" hidden="false" customHeight="false" outlineLevel="0" collapsed="false">
      <c r="B9" s="7" t="s">
        <v>14</v>
      </c>
      <c r="C9" s="10" t="n">
        <v>0.9</v>
      </c>
      <c r="D9" s="11"/>
    </row>
    <row r="10" customFormat="false" ht="15" hidden="false" customHeight="false" outlineLevel="0" collapsed="false">
      <c r="B10" s="2" t="s">
        <v>15</v>
      </c>
      <c r="C10" s="2"/>
      <c r="D10" s="2"/>
      <c r="E10" s="2"/>
      <c r="N10" s="12" t="s">
        <v>16</v>
      </c>
      <c r="O10" s="12" t="s">
        <v>17</v>
      </c>
      <c r="P10" s="12" t="s">
        <v>18</v>
      </c>
      <c r="Q10" s="12" t="s">
        <v>19</v>
      </c>
      <c r="R10" s="12" t="s">
        <v>20</v>
      </c>
      <c r="S10" s="12" t="s">
        <v>21</v>
      </c>
      <c r="T10" s="12" t="s">
        <v>22</v>
      </c>
      <c r="U10" s="12" t="s">
        <v>23</v>
      </c>
    </row>
    <row r="11" customFormat="false" ht="15" hidden="false" customHeight="false" outlineLevel="0" collapsed="false">
      <c r="B11" s="7" t="s">
        <v>24</v>
      </c>
      <c r="C11" s="13" t="s">
        <v>25</v>
      </c>
      <c r="D11" s="13"/>
      <c r="N11" s="14" t="s">
        <v>26</v>
      </c>
      <c r="O11" s="14"/>
      <c r="P11" s="14"/>
      <c r="Q11" s="14"/>
      <c r="R11" s="14"/>
      <c r="S11" s="14"/>
      <c r="T11" s="14"/>
      <c r="U11" s="14"/>
    </row>
    <row r="12" customFormat="false" ht="15" hidden="false" customHeight="false" outlineLevel="0" collapsed="false">
      <c r="B12" s="7" t="s">
        <v>27</v>
      </c>
      <c r="C12" s="13" t="s">
        <v>28</v>
      </c>
      <c r="D12" s="13"/>
      <c r="N12" s="15" t="s">
        <v>29</v>
      </c>
      <c r="O12" s="16" t="s">
        <v>30</v>
      </c>
      <c r="P12" s="17" t="n">
        <f aca="false">INDEX(CALCULO!$D$112:$M$112,MATCH(MAX(CALCULO!$D$116:$M$116),CALCULO!$D$116:$M$116,0))/100000</f>
        <v>14</v>
      </c>
      <c r="Q12" s="17" t="n">
        <f aca="false">k_phin*k_Mnp/100000</f>
        <v>28.5754363903046</v>
      </c>
      <c r="R12" s="18" t="s">
        <v>31</v>
      </c>
      <c r="S12" s="19" t="n">
        <f aca="false">MAX(CALCULO!$D$116:$M$116)</f>
        <v>0.489931275546507</v>
      </c>
      <c r="T12" s="20" t="str">
        <f aca="false">IF(ISNUMBER(S12),IF(S12&gt;1,"NO CUMPLE",IF(S12&gt;lim_verde,"AL LÍMITE","CUMPLE")),"N/A")</f>
        <v>CUMPLE</v>
      </c>
      <c r="U12" s="18" t="str">
        <f aca="false">IF(ISNUMBER(S12),INDEX(CALCULO!$D$110:$M$110,MATCH(MAX(CALCULO!$D$116:$M$116),CALCULO!$D$116:$M$116,0)),"—")</f>
        <v>1.2D+1.0E+L</v>
      </c>
    </row>
    <row r="13" customFormat="false" ht="15" hidden="false" customHeight="false" outlineLevel="0" collapsed="false">
      <c r="B13" s="2" t="s">
        <v>32</v>
      </c>
      <c r="C13" s="2"/>
      <c r="D13" s="2"/>
      <c r="E13" s="2"/>
      <c r="N13" s="15" t="s">
        <v>33</v>
      </c>
      <c r="O13" s="16" t="s">
        <v>34</v>
      </c>
      <c r="P13" s="17" t="n">
        <f aca="false">INDEX(CALCULO!$D$117:$M$117,MATCH(MAX(CALCULO!$D$118:$M$118),CALCULO!$D$118:$M$118,0))/1</f>
        <v>31.7187343932381</v>
      </c>
      <c r="Q13" s="17" t="n">
        <f aca="false">k_phiMpl/100000</f>
        <v>56.5276548272578</v>
      </c>
      <c r="R13" s="18" t="s">
        <v>31</v>
      </c>
      <c r="S13" s="19" t="n">
        <f aca="false">MAX(CALCULO!$D$118:$M$118)</f>
        <v>0.561118880487205</v>
      </c>
      <c r="T13" s="20" t="str">
        <f aca="false">IF(ISNUMBER(S13),IF(S13&gt;1,"NO CUMPLE",IF(S13&gt;lim_verde,"AL LÍMITE","CUMPLE")),"N/A")</f>
        <v>CUMPLE</v>
      </c>
      <c r="U13" s="18" t="str">
        <f aca="false">IF(ISNUMBER(S13),INDEX(CALCULO!$D$110:$M$110,MATCH(MAX(CALCULO!$D$118:$M$118),CALCULO!$D$118:$M$118,0)),"—")</f>
        <v>1.2D+1.6L</v>
      </c>
    </row>
    <row r="14" customFormat="false" ht="15" hidden="false" customHeight="false" outlineLevel="0" collapsed="false">
      <c r="B14" s="7" t="s">
        <v>35</v>
      </c>
      <c r="C14" s="13" t="s">
        <v>36</v>
      </c>
      <c r="D14" s="13"/>
      <c r="E14" s="3" t="s">
        <v>37</v>
      </c>
      <c r="N14" s="15" t="s">
        <v>38</v>
      </c>
      <c r="O14" s="16" t="s">
        <v>39</v>
      </c>
      <c r="P14" s="17" t="n">
        <f aca="false">IF(k_is4E=0,"—",INDEX(CALCULO!$D$115:$M$115,MATCH(MAX(CALCULO!$D$120:$M$120),CALCULO!$D$120:$M$120,0))/2000)</f>
        <v>18.0412371134021</v>
      </c>
      <c r="Q14" s="17" t="n">
        <f aca="false">IF(k_is4E=0,"—",k_Rsy/1000)</f>
        <v>105.45</v>
      </c>
      <c r="R14" s="18" t="s">
        <v>40</v>
      </c>
      <c r="S14" s="19" t="n">
        <f aca="false">IF(k_is4E=0,"N/A",MAX(CALCULO!$D$120:$M$120))</f>
        <v>0.171088071250849</v>
      </c>
      <c r="T14" s="20" t="str">
        <f aca="false">IF(ISNUMBER(S14),IF(S14&gt;1,"NO CUMPLE",IF(S14&gt;lim_verde,"AL LÍMITE","CUMPLE")),"N/A")</f>
        <v>CUMPLE</v>
      </c>
      <c r="U14" s="18" t="str">
        <f aca="false">IF(ISNUMBER(S14),INDEX(CALCULO!$D$110:$M$110,MATCH(MAX(CALCULO!$D$120:$M$120),CALCULO!$D$120:$M$120,0)),"—")</f>
        <v>1.2D+1.0E+L</v>
      </c>
    </row>
    <row r="15" customFormat="false" ht="15" hidden="false" customHeight="false" outlineLevel="0" collapsed="false">
      <c r="B15" s="7" t="s">
        <v>41</v>
      </c>
      <c r="C15" s="21" t="n">
        <f aca="false">IF(vg_perfil="ARMADO (flejes soldados)",E15,INDEX(CATALOGOS!$B$5:$B$40,MATCH(vg_perfil,CATALOGOS!$A$5:$A$40,0)))</f>
        <v>400</v>
      </c>
      <c r="D15" s="11" t="s">
        <v>42</v>
      </c>
      <c r="E15" s="13" t="n">
        <v>400</v>
      </c>
      <c r="N15" s="15" t="s">
        <v>43</v>
      </c>
      <c r="O15" s="16" t="s">
        <v>44</v>
      </c>
      <c r="P15" s="17" t="n">
        <f aca="false">IF(k_is4E=0,"—",INDEX(CALCULO!$D$115:$M$115,MATCH(MAX(CALCULO!$D$121:$M$121),CALCULO!$D$121:$M$121,0))/2000)</f>
        <v>18.0412371134021</v>
      </c>
      <c r="Q15" s="17" t="n">
        <f aca="false">IF(k_is4E=0,"—",k_Rsr/1000)</f>
        <v>76.70745</v>
      </c>
      <c r="R15" s="18" t="s">
        <v>40</v>
      </c>
      <c r="S15" s="19" t="n">
        <f aca="false">IF(k_is4E=0,"N/A",MAX(CALCULO!$D$121:$M$121))</f>
        <v>0.235195370376698</v>
      </c>
      <c r="T15" s="20" t="str">
        <f aca="false">IF(ISNUMBER(S15),IF(S15&gt;1,"NO CUMPLE",IF(S15&gt;lim_verde,"AL LÍMITE","CUMPLE")),"N/A")</f>
        <v>CUMPLE</v>
      </c>
      <c r="U15" s="18" t="str">
        <f aca="false">IF(ISNUMBER(S15),INDEX(CALCULO!$D$110:$M$110,MATCH(MAX(CALCULO!$D$121:$M$121),CALCULO!$D$121:$M$121,0)),"—")</f>
        <v>1.2D+1.0E+L</v>
      </c>
    </row>
    <row r="16" customFormat="false" ht="15" hidden="false" customHeight="false" outlineLevel="0" collapsed="false">
      <c r="B16" s="7" t="s">
        <v>45</v>
      </c>
      <c r="C16" s="21" t="n">
        <f aca="false">IF(vg_perfil="ARMADO (flejes soldados)",E16,INDEX(CATALOGOS!$C$5:$C$40,MATCH(vg_perfil,CATALOGOS!$A$5:$A$40,0)))</f>
        <v>180</v>
      </c>
      <c r="D16" s="11" t="s">
        <v>42</v>
      </c>
      <c r="E16" s="13" t="n">
        <v>180</v>
      </c>
      <c r="N16" s="15" t="s">
        <v>46</v>
      </c>
      <c r="O16" s="16" t="s">
        <v>47</v>
      </c>
      <c r="P16" s="22" t="str">
        <f aca="false">IF(k_is4E=1,"—",k_tsr*10)</f>
        <v>—</v>
      </c>
      <c r="Q16" s="22" t="str">
        <f aca="false">IF(k_is4E=1,"—",st_t)</f>
        <v>—</v>
      </c>
      <c r="R16" s="18" t="s">
        <v>42</v>
      </c>
      <c r="S16" s="19" t="str">
        <f aca="false">IF(k_is4E=1,"N/A",k_tsr*10/st_t)</f>
        <v>N/A</v>
      </c>
      <c r="T16" s="20" t="str">
        <f aca="false">IF(ISNUMBER(S16),IF(S16&gt;1,"NO CUMPLE",IF(S16&gt;lim_verde,"AL LÍMITE","CUMPLE")),"N/A")</f>
        <v>N/A</v>
      </c>
      <c r="U16" s="18" t="s">
        <v>48</v>
      </c>
    </row>
    <row r="17" customFormat="false" ht="15" hidden="false" customHeight="false" outlineLevel="0" collapsed="false">
      <c r="B17" s="7" t="s">
        <v>49</v>
      </c>
      <c r="C17" s="21" t="n">
        <f aca="false">IF(vg_perfil="ARMADO (flejes soldados)",E17,INDEX(CATALOGOS!$D$5:$D$40,MATCH(vg_perfil,CATALOGOS!$A$5:$A$40,0)))</f>
        <v>6</v>
      </c>
      <c r="D17" s="11" t="s">
        <v>42</v>
      </c>
      <c r="E17" s="13" t="n">
        <v>6</v>
      </c>
      <c r="N17" s="15" t="s">
        <v>50</v>
      </c>
      <c r="O17" s="16" t="s">
        <v>51</v>
      </c>
      <c r="P17" s="22" t="str">
        <f aca="false">IF(k_is4E=1,"—",k_hts)</f>
        <v>—</v>
      </c>
      <c r="Q17" s="22" t="str">
        <f aca="false">IF(k_is4E=1,"—",k_htsl)</f>
        <v>—</v>
      </c>
      <c r="R17" s="18" t="s">
        <v>52</v>
      </c>
      <c r="S17" s="19" t="str">
        <f aca="false">IF(k_is4E=1,"N/A",k_hts/k_htsl)</f>
        <v>N/A</v>
      </c>
      <c r="T17" s="20" t="str">
        <f aca="false">IF(ISNUMBER(S17),IF(S17&gt;1,"NO CUMPLE",IF(S17&gt;lim_verde,"AL LÍMITE","CUMPLE")),"N/A")</f>
        <v>N/A</v>
      </c>
      <c r="U17" s="18" t="s">
        <v>48</v>
      </c>
    </row>
    <row r="18" customFormat="false" ht="15" hidden="false" customHeight="false" outlineLevel="0" collapsed="false">
      <c r="B18" s="7" t="s">
        <v>53</v>
      </c>
      <c r="C18" s="21" t="n">
        <f aca="false">IF(vg_perfil="ARMADO (flejes soldados)",E18,INDEX(CATALOGOS!$E$5:$E$40,MATCH(vg_perfil,CATALOGOS!$A$5:$A$40,0)))</f>
        <v>12</v>
      </c>
      <c r="D18" s="11" t="s">
        <v>42</v>
      </c>
      <c r="E18" s="13" t="n">
        <v>12</v>
      </c>
      <c r="N18" s="14" t="s">
        <v>54</v>
      </c>
      <c r="O18" s="14"/>
      <c r="P18" s="14"/>
      <c r="Q18" s="14"/>
      <c r="R18" s="14"/>
      <c r="S18" s="14"/>
      <c r="T18" s="14"/>
      <c r="U18" s="14"/>
    </row>
    <row r="19" customFormat="false" ht="15" hidden="false" customHeight="false" outlineLevel="0" collapsed="false">
      <c r="B19" s="7" t="s">
        <v>55</v>
      </c>
      <c r="C19" s="13" t="s">
        <v>56</v>
      </c>
      <c r="D19" s="13"/>
      <c r="N19" s="15" t="s">
        <v>57</v>
      </c>
      <c r="O19" s="16" t="s">
        <v>58</v>
      </c>
      <c r="P19" s="17" t="n">
        <f aca="false">INDEX(CALCULO!$D$113:$M$113,MATCH(MAX(CALCULO!$D$122:$M$122),CALCULO!$D$122:$M$122,0))/1000</f>
        <v>7</v>
      </c>
      <c r="Q19" s="17" t="n">
        <f aca="false">k_Rvb/1000</f>
        <v>44.1911468477469</v>
      </c>
      <c r="R19" s="18" t="s">
        <v>40</v>
      </c>
      <c r="S19" s="19" t="n">
        <f aca="false">MAX(CALCULO!$D$122:$M$122)</f>
        <v>0.158402768412354</v>
      </c>
      <c r="T19" s="20" t="str">
        <f aca="false">IF(ISNUMBER(S19),IF(S19&gt;1,"NO CUMPLE",IF(S19&gt;lim_verde,"AL LÍMITE","CUMPLE")),"N/A")</f>
        <v>CUMPLE</v>
      </c>
      <c r="U19" s="18" t="str">
        <f aca="false">IF(ISNUMBER(S19),INDEX(CALCULO!$D$110:$M$110,MATCH(MAX(CALCULO!$D$122:$M$122),CALCULO!$D$122:$M$122,0)),"—")</f>
        <v>1.2D+1.0E+L</v>
      </c>
    </row>
    <row r="20" customFormat="false" ht="15" hidden="false" customHeight="false" outlineLevel="0" collapsed="false">
      <c r="B20" s="7" t="s">
        <v>59</v>
      </c>
      <c r="C20" s="23" t="n">
        <f aca="false">INDEX(CATALOGOS!$N$5:$N$10,MATCH(vg_acero,CATALOGOS!$M$5:$M$10,0))</f>
        <v>3515</v>
      </c>
      <c r="D20" s="11" t="s">
        <v>60</v>
      </c>
      <c r="N20" s="15" t="s">
        <v>61</v>
      </c>
      <c r="O20" s="16" t="s">
        <v>62</v>
      </c>
      <c r="P20" s="17" t="n">
        <f aca="false">INDEX(CALCULO!$D$113:$M$113,MATCH(MAX(CALCULO!$D$123:$M$123),CALCULO!$D$123:$M$123,0))/1000</f>
        <v>7</v>
      </c>
      <c r="Q20" s="17" t="n">
        <f aca="false">k_Rbp/1000</f>
        <v>149.186221875</v>
      </c>
      <c r="R20" s="18" t="s">
        <v>40</v>
      </c>
      <c r="S20" s="19" t="n">
        <f aca="false">MAX(CALCULO!$D$123:$M$123)</f>
        <v>0.0469212230997119</v>
      </c>
      <c r="T20" s="20" t="str">
        <f aca="false">IF(ISNUMBER(S20),IF(S20&gt;1,"NO CUMPLE",IF(S20&gt;lim_verde,"AL LÍMITE","CUMPLE")),"N/A")</f>
        <v>CUMPLE</v>
      </c>
      <c r="U20" s="18" t="str">
        <f aca="false">IF(ISNUMBER(S20),INDEX(CALCULO!$D$110:$M$110,MATCH(MAX(CALCULO!$D$123:$M$123),CALCULO!$D$123:$M$123,0)),"—")</f>
        <v>1.2D+1.0E+L</v>
      </c>
    </row>
    <row r="21" customFormat="false" ht="15" hidden="false" customHeight="false" outlineLevel="0" collapsed="false">
      <c r="B21" s="7" t="s">
        <v>63</v>
      </c>
      <c r="C21" s="23" t="n">
        <f aca="false">INDEX(CATALOGOS!$O$5:$O$10,MATCH(vg_acero,CATALOGOS!$M$5:$M$10,0))</f>
        <v>4570</v>
      </c>
      <c r="D21" s="11" t="s">
        <v>60</v>
      </c>
      <c r="G21" s="2" t="s">
        <v>64</v>
      </c>
      <c r="H21" s="2"/>
      <c r="I21" s="2"/>
      <c r="J21" s="2"/>
      <c r="K21" s="2"/>
      <c r="L21" s="2"/>
      <c r="N21" s="15" t="s">
        <v>65</v>
      </c>
      <c r="O21" s="16" t="s">
        <v>62</v>
      </c>
      <c r="P21" s="17" t="n">
        <f aca="false">INDEX(CALCULO!$D$113:$M$113,MATCH(MAX(CALCULO!$D$124:$M$124),CALCULO!$D$124:$M$124,0))/1000</f>
        <v>7</v>
      </c>
      <c r="Q21" s="17" t="n">
        <f aca="false">k_Rbc/1000</f>
        <v>109.69371</v>
      </c>
      <c r="R21" s="18" t="s">
        <v>40</v>
      </c>
      <c r="S21" s="19" t="n">
        <f aca="false">MAX(CALCULO!$D$124:$M$124)</f>
        <v>0.0638140509606248</v>
      </c>
      <c r="T21" s="20" t="str">
        <f aca="false">IF(ISNUMBER(S21),IF(S21&gt;1,"NO CUMPLE",IF(S21&gt;lim_verde,"AL LÍMITE","CUMPLE")),"N/A")</f>
        <v>CUMPLE</v>
      </c>
      <c r="U21" s="18" t="str">
        <f aca="false">IF(ISNUMBER(S21),INDEX(CALCULO!$D$110:$M$110,MATCH(MAX(CALCULO!$D$124:$M$124),CALCULO!$D$124:$M$124,0)),"—")</f>
        <v>1.2D+1.0E+L</v>
      </c>
    </row>
    <row r="22" customFormat="false" ht="15" hidden="false" customHeight="false" outlineLevel="0" collapsed="false">
      <c r="B22" s="7" t="s">
        <v>66</v>
      </c>
      <c r="C22" s="24" t="n">
        <f aca="false">INDEX(CATALOGOS!$P$5:$P$10,MATCH(vg_acero,CATALOGOS!$M$5:$M$10,0))</f>
        <v>1.1</v>
      </c>
      <c r="D22" s="11"/>
      <c r="G22" s="25" t="s">
        <v>67</v>
      </c>
      <c r="H22" s="25" t="s">
        <v>68</v>
      </c>
      <c r="I22" s="25" t="s">
        <v>69</v>
      </c>
      <c r="J22" s="25" t="s">
        <v>70</v>
      </c>
      <c r="K22" s="25" t="s">
        <v>71</v>
      </c>
      <c r="L22" s="25" t="s">
        <v>72</v>
      </c>
      <c r="N22" s="14" t="s">
        <v>73</v>
      </c>
      <c r="O22" s="14"/>
      <c r="P22" s="14"/>
      <c r="Q22" s="14"/>
      <c r="R22" s="14"/>
      <c r="S22" s="14"/>
      <c r="T22" s="14"/>
      <c r="U22" s="14"/>
    </row>
    <row r="23" customFormat="false" ht="15" hidden="false" customHeight="false" outlineLevel="0" collapsed="false">
      <c r="B23" s="2" t="s">
        <v>74</v>
      </c>
      <c r="C23" s="2"/>
      <c r="D23" s="2"/>
      <c r="E23" s="2"/>
      <c r="G23" s="13" t="s">
        <v>75</v>
      </c>
      <c r="H23" s="26" t="n">
        <v>9.5</v>
      </c>
      <c r="I23" s="26" t="n">
        <v>6</v>
      </c>
      <c r="J23" s="27" t="n">
        <f aca="false">IF(INDEX(CALCULO!$D$111:$M$111,1)=1,INDEX(CALCULO!$D$114:$M$114,1),"—")</f>
        <v>12.8146614351097</v>
      </c>
      <c r="K23" s="28" t="n">
        <f aca="false">IF(INDEX(CALCULO!$D$111:$M$111,1)=1,INDEX(CALCULO!$D$115:$M$115,1)/1000,"—")</f>
        <v>24.4845360824742</v>
      </c>
      <c r="L23" s="29" t="n">
        <f aca="false">IF(INDEX(CALCULO!$D$111:$M$111,1)=1,INDEX(CALCULO!$D$138:$M$138,1),"—")</f>
        <v>0.868623983847918</v>
      </c>
      <c r="N23" s="15" t="s">
        <v>76</v>
      </c>
      <c r="O23" s="16" t="s">
        <v>77</v>
      </c>
      <c r="P23" s="17" t="n">
        <f aca="false">IF(k_seis=1,"—",INDEX(CALCULO!$D$115:$M$115,MATCH(MAX(CALCULO!$D$125:$M$125),CALCULO!$D$125:$M$125,0))/1000)</f>
        <v>36.0824742268041</v>
      </c>
      <c r="Q23" s="17" t="n">
        <f aca="false">IF(k_seis=1,"—",k_Rwf/1000)</f>
        <v>83.1173238</v>
      </c>
      <c r="R23" s="18" t="s">
        <v>40</v>
      </c>
      <c r="S23" s="19" t="n">
        <f aca="false">IF(k_seis=1,"N/A",MAX(CALCULO!$D$125:$M$125))</f>
        <v>0.434114966377251</v>
      </c>
      <c r="T23" s="20" t="str">
        <f aca="false">IF(ISNUMBER(S23),IF(S23&gt;1,"NO CUMPLE",IF(S23&gt;lim_verde,"AL LÍMITE","CUMPLE")),"N/A")</f>
        <v>CUMPLE</v>
      </c>
      <c r="U23" s="18" t="str">
        <f aca="false">IF(ISNUMBER(S23),INDEX(CALCULO!$D$110:$M$110,MATCH(MAX(CALCULO!$D$125:$M$125),CALCULO!$D$125:$M$125,0)),"—")</f>
        <v>1.2D+1.0E+L</v>
      </c>
    </row>
    <row r="24" customFormat="false" ht="15" hidden="false" customHeight="false" outlineLevel="0" collapsed="false">
      <c r="B24" s="7" t="s">
        <v>35</v>
      </c>
      <c r="C24" s="13" t="s">
        <v>78</v>
      </c>
      <c r="D24" s="13"/>
      <c r="E24" s="3" t="s">
        <v>37</v>
      </c>
      <c r="G24" s="13" t="s">
        <v>79</v>
      </c>
      <c r="H24" s="26" t="n">
        <v>14</v>
      </c>
      <c r="I24" s="26" t="n">
        <v>7</v>
      </c>
      <c r="J24" s="27" t="n">
        <f aca="false">IF(INDEX(CALCULO!$D$111:$M$111,2)=1,INDEX(CALCULO!$D$114:$M$114,2),"—")</f>
        <v>15.5564089610438</v>
      </c>
      <c r="K24" s="28" t="n">
        <f aca="false">IF(INDEX(CALCULO!$D$111:$M$111,2)=1,INDEX(CALCULO!$D$115:$M$115,2)/1000,"—")</f>
        <v>36.0824742268041</v>
      </c>
      <c r="L24" s="29" t="n">
        <f aca="false">IF(INDEX(CALCULO!$D$111:$M$111,2)=1,INDEX(CALCULO!$D$138:$M$138,2),"—")</f>
        <v>0.868623983847918</v>
      </c>
      <c r="N24" s="15" t="s">
        <v>80</v>
      </c>
      <c r="O24" s="16" t="s">
        <v>81</v>
      </c>
      <c r="P24" s="30" t="n">
        <f aca="false">k_wtD</f>
        <v>1898.1</v>
      </c>
      <c r="Q24" s="30" t="n">
        <f aca="false">k_wtC</f>
        <v>2817.5364</v>
      </c>
      <c r="R24" s="18" t="s">
        <v>82</v>
      </c>
      <c r="S24" s="19" t="n">
        <f aca="false">MAX(CALCULO!$D$126:$M$126)</f>
        <v>0.673673639140918</v>
      </c>
      <c r="T24" s="20" t="str">
        <f aca="false">IF(ISNUMBER(S24),IF(S24&gt;1,"NO CUMPLE",IF(S24&gt;lim_verde,"AL LÍMITE","CUMPLE")),"N/A")</f>
        <v>CUMPLE</v>
      </c>
      <c r="U24" s="18" t="str">
        <f aca="false">IF(ISNUMBER(S24),INDEX(CALCULO!$D$110:$M$110,MATCH(MAX(CALCULO!$D$126:$M$126),CALCULO!$D$126:$M$126,0)),"—")</f>
        <v>1.2D+1.6L</v>
      </c>
    </row>
    <row r="25" customFormat="false" ht="15" hidden="false" customHeight="false" outlineLevel="0" collapsed="false">
      <c r="B25" s="7" t="s">
        <v>41</v>
      </c>
      <c r="C25" s="21" t="n">
        <f aca="false">IF(co_perfil="ARMADO (flejes soldados)",E25,INDEX(CATALOGOS!$H$5:$H$40,MATCH(co_perfil,CATALOGOS!$G$5:$G$40,0)))</f>
        <v>500</v>
      </c>
      <c r="D25" s="11" t="s">
        <v>42</v>
      </c>
      <c r="E25" s="13" t="n">
        <v>500</v>
      </c>
      <c r="G25" s="13" t="s">
        <v>83</v>
      </c>
      <c r="H25" s="26" t="n">
        <v>11.5</v>
      </c>
      <c r="I25" s="26" t="n">
        <v>4.5</v>
      </c>
      <c r="J25" s="27" t="n">
        <f aca="false">IF(INDEX(CALCULO!$D$111:$M$111,3)=1,INDEX(CALCULO!$D$114:$M$114,3),"—")</f>
        <v>14.0991929537963</v>
      </c>
      <c r="K25" s="28" t="n">
        <f aca="false">IF(INDEX(CALCULO!$D$111:$M$111,3)=1,INDEX(CALCULO!$D$115:$M$115,3)/1000,"—")</f>
        <v>29.639175257732</v>
      </c>
      <c r="L25" s="29" t="n">
        <f aca="false">IF(INDEX(CALCULO!$D$111:$M$111,3)=1,INDEX(CALCULO!$D$138:$M$138,3),"—")</f>
        <v>0.868623983847918</v>
      </c>
      <c r="N25" s="15" t="s">
        <v>84</v>
      </c>
      <c r="O25" s="16" t="s">
        <v>85</v>
      </c>
      <c r="P25" s="17" t="n">
        <f aca="false">INDEX(CALCULO!$D$113:$M$113,MATCH(MAX(CALCULO!$D$127:$M$127),CALCULO!$D$127:$M$127,0))/1000</f>
        <v>7</v>
      </c>
      <c r="Q25" s="17" t="n">
        <f aca="false">k_Rwv/1000</f>
        <v>35.31312288</v>
      </c>
      <c r="R25" s="18" t="s">
        <v>40</v>
      </c>
      <c r="S25" s="19" t="n">
        <f aca="false">MAX(CALCULO!$D$127:$M$127)</f>
        <v>0.198226591960932</v>
      </c>
      <c r="T25" s="20" t="str">
        <f aca="false">IF(ISNUMBER(S25),IF(S25&gt;1,"NO CUMPLE",IF(S25&gt;lim_verde,"AL LÍMITE","CUMPLE")),"N/A")</f>
        <v>CUMPLE</v>
      </c>
      <c r="U25" s="18" t="str">
        <f aca="false">IF(ISNUMBER(S25),INDEX(CALCULO!$D$110:$M$110,MATCH(MAX(CALCULO!$D$127:$M$127),CALCULO!$D$127:$M$127,0)),"—")</f>
        <v>1.2D+1.0E+L</v>
      </c>
    </row>
    <row r="26" customFormat="false" ht="15" hidden="false" customHeight="false" outlineLevel="0" collapsed="false">
      <c r="B26" s="7" t="s">
        <v>45</v>
      </c>
      <c r="C26" s="21" t="n">
        <f aca="false">IF(co_perfil="ARMADO (flejes soldados)",E26,INDEX(CATALOGOS!$I$5:$I$40,MATCH(co_perfil,CATALOGOS!$G$5:$G$40,0)))</f>
        <v>250</v>
      </c>
      <c r="D26" s="11" t="s">
        <v>42</v>
      </c>
      <c r="E26" s="13" t="n">
        <v>250</v>
      </c>
      <c r="G26" s="13" t="s">
        <v>86</v>
      </c>
      <c r="H26" s="26" t="n">
        <v>8</v>
      </c>
      <c r="I26" s="26" t="n">
        <v>5</v>
      </c>
      <c r="J26" s="27" t="n">
        <f aca="false">IF(INDEX(CALCULO!$D$111:$M$111,4)=1,INDEX(CALCULO!$D$114:$M$114,4),"—")</f>
        <v>11.7595398297539</v>
      </c>
      <c r="K26" s="28" t="n">
        <f aca="false">IF(INDEX(CALCULO!$D$111:$M$111,4)=1,INDEX(CALCULO!$D$115:$M$115,4)/1000,"—")</f>
        <v>20.6185567010309</v>
      </c>
      <c r="L26" s="29" t="n">
        <f aca="false">IF(INDEX(CALCULO!$D$111:$M$111,4)=1,INDEX(CALCULO!$D$138:$M$138,4),"—")</f>
        <v>0.868623983847918</v>
      </c>
      <c r="N26" s="14" t="s">
        <v>87</v>
      </c>
      <c r="O26" s="14"/>
      <c r="P26" s="14"/>
      <c r="Q26" s="14"/>
      <c r="R26" s="14"/>
      <c r="S26" s="14"/>
      <c r="T26" s="14"/>
      <c r="U26" s="14"/>
    </row>
    <row r="27" customFormat="false" ht="15" hidden="false" customHeight="false" outlineLevel="0" collapsed="false">
      <c r="B27" s="7" t="s">
        <v>49</v>
      </c>
      <c r="C27" s="21" t="n">
        <f aca="false">IF(co_perfil="ARMADO (flejes soldados)",E27,INDEX(CATALOGOS!$J$5:$J$40,MATCH(co_perfil,CATALOGOS!$G$5:$G$40,0)))</f>
        <v>10</v>
      </c>
      <c r="D27" s="11" t="s">
        <v>42</v>
      </c>
      <c r="E27" s="13" t="n">
        <v>10</v>
      </c>
      <c r="G27" s="13" t="s">
        <v>88</v>
      </c>
      <c r="H27" s="26"/>
      <c r="I27" s="26"/>
      <c r="J27" s="27" t="str">
        <f aca="false">IF(INDEX(CALCULO!$D$111:$M$111,5)=1,INDEX(CALCULO!$D$114:$M$114,5),"—")</f>
        <v>—</v>
      </c>
      <c r="K27" s="28" t="str">
        <f aca="false">IF(INDEX(CALCULO!$D$111:$M$111,5)=1,INDEX(CALCULO!$D$115:$M$115,5)/1000,"—")</f>
        <v>—</v>
      </c>
      <c r="L27" s="29" t="str">
        <f aca="false">IF(INDEX(CALCULO!$D$111:$M$111,5)=1,INDEX(CALCULO!$D$138:$M$138,5),"—")</f>
        <v>—</v>
      </c>
      <c r="N27" s="15" t="s">
        <v>89</v>
      </c>
      <c r="O27" s="16" t="s">
        <v>90</v>
      </c>
      <c r="P27" s="17" t="n">
        <f aca="false">INDEX(CALCULO!$D$128:$M$128,MATCH(MAX(CALCULO!$D$129:$M$129),CALCULO!$D$129:$M$129,0))/1</f>
        <v>31.7187343932381</v>
      </c>
      <c r="Q27" s="17" t="n">
        <f aca="false">k_phiMcf/100000</f>
        <v>36.5160702249174</v>
      </c>
      <c r="R27" s="18" t="s">
        <v>31</v>
      </c>
      <c r="S27" s="19" t="n">
        <f aca="false">MAX(CALCULO!$D$129:$M$129)</f>
        <v>0.868623983847918</v>
      </c>
      <c r="T27" s="20" t="str">
        <f aca="false">IF(ISNUMBER(S27),IF(S27&gt;1,"NO CUMPLE",IF(S27&gt;lim_verde,"AL LÍMITE","CUMPLE")),"N/A")</f>
        <v>CUMPLE</v>
      </c>
      <c r="U27" s="18" t="str">
        <f aca="false">IF(ISNUMBER(S27),INDEX(CALCULO!$D$110:$M$110,MATCH(MAX(CALCULO!$D$129:$M$129),CALCULO!$D$129:$M$129,0)),"—")</f>
        <v>1.2D+1.6L</v>
      </c>
    </row>
    <row r="28" customFormat="false" ht="15" hidden="false" customHeight="false" outlineLevel="0" collapsed="false">
      <c r="B28" s="7" t="s">
        <v>53</v>
      </c>
      <c r="C28" s="21" t="n">
        <f aca="false">IF(co_perfil="ARMADO (flejes soldados)",E28,INDEX(CATALOGOS!$K$5:$K$40,MATCH(co_perfil,CATALOGOS!$G$5:$G$40,0)))</f>
        <v>15</v>
      </c>
      <c r="D28" s="11" t="s">
        <v>42</v>
      </c>
      <c r="E28" s="13" t="n">
        <v>15</v>
      </c>
      <c r="G28" s="13" t="s">
        <v>91</v>
      </c>
      <c r="H28" s="26"/>
      <c r="I28" s="26"/>
      <c r="J28" s="27" t="str">
        <f aca="false">IF(INDEX(CALCULO!$D$111:$M$111,6)=1,INDEX(CALCULO!$D$114:$M$114,6),"—")</f>
        <v>—</v>
      </c>
      <c r="K28" s="28" t="str">
        <f aca="false">IF(INDEX(CALCULO!$D$111:$M$111,6)=1,INDEX(CALCULO!$D$115:$M$115,6)/1000,"—")</f>
        <v>—</v>
      </c>
      <c r="L28" s="29" t="str">
        <f aca="false">IF(INDEX(CALCULO!$D$111:$M$111,6)=1,INDEX(CALCULO!$D$138:$M$138,6),"—")</f>
        <v>—</v>
      </c>
      <c r="N28" s="15" t="s">
        <v>92</v>
      </c>
      <c r="O28" s="16" t="s">
        <v>93</v>
      </c>
      <c r="P28" s="17" t="str">
        <f aca="false">IF(cp_usar="Sí","—",INDEX(CALCULO!$D$115:$M$115,MATCH(MAX(CALCULO!$D$131:$M$131),CALCULO!$D$131:$M$131,0))/1000)</f>
        <v>—</v>
      </c>
      <c r="Q28" s="17" t="str">
        <f aca="false">IF(cp_usar="Sí","—",k_Rwy/1000)</f>
        <v>—</v>
      </c>
      <c r="R28" s="18" t="s">
        <v>40</v>
      </c>
      <c r="S28" s="19" t="str">
        <f aca="false">IF(cp_usar="Sí","N/A",MAX(CALCULO!$D$131:$M$131))</f>
        <v>N/A</v>
      </c>
      <c r="T28" s="20" t="str">
        <f aca="false">IF(ISNUMBER(S28),IF(S28&gt;1,"NO CUMPLE",IF(S28&gt;lim_verde,"AL LÍMITE","CUMPLE")),"N/A")</f>
        <v>N/A</v>
      </c>
      <c r="U28" s="18" t="str">
        <f aca="false">IF(ISNUMBER(S28),INDEX(CALCULO!$D$110:$M$110,MATCH(MAX(CALCULO!$D$131:$M$131),CALCULO!$D$131:$M$131,0)),"—")</f>
        <v>—</v>
      </c>
    </row>
    <row r="29" customFormat="false" ht="15" hidden="false" customHeight="false" outlineLevel="0" collapsed="false">
      <c r="B29" s="7" t="s">
        <v>55</v>
      </c>
      <c r="C29" s="13" t="s">
        <v>56</v>
      </c>
      <c r="D29" s="13"/>
      <c r="G29" s="13" t="s">
        <v>94</v>
      </c>
      <c r="H29" s="26"/>
      <c r="I29" s="26"/>
      <c r="J29" s="27" t="str">
        <f aca="false">IF(INDEX(CALCULO!$D$111:$M$111,7)=1,INDEX(CALCULO!$D$114:$M$114,7),"—")</f>
        <v>—</v>
      </c>
      <c r="K29" s="28" t="str">
        <f aca="false">IF(INDEX(CALCULO!$D$111:$M$111,7)=1,INDEX(CALCULO!$D$115:$M$115,7)/1000,"—")</f>
        <v>—</v>
      </c>
      <c r="L29" s="29" t="str">
        <f aca="false">IF(INDEX(CALCULO!$D$111:$M$111,7)=1,INDEX(CALCULO!$D$138:$M$138,7),"—")</f>
        <v>—</v>
      </c>
      <c r="N29" s="15" t="s">
        <v>95</v>
      </c>
      <c r="O29" s="16" t="s">
        <v>96</v>
      </c>
      <c r="P29" s="17" t="str">
        <f aca="false">IF(cp_usar="Sí","—",INDEX(CALCULO!$D$115:$M$115,MATCH(MAX(CALCULO!$D$132:$M$132),CALCULO!$D$132:$M$132,0))/1000)</f>
        <v>—</v>
      </c>
      <c r="Q29" s="17" t="str">
        <f aca="false">IF(cp_usar="Sí","—",k_Rwc/1000)</f>
        <v>—</v>
      </c>
      <c r="R29" s="18" t="s">
        <v>40</v>
      </c>
      <c r="S29" s="19" t="str">
        <f aca="false">IF(cp_usar="Sí","N/A",MAX(CALCULO!$D$132:$M$132))</f>
        <v>N/A</v>
      </c>
      <c r="T29" s="20" t="str">
        <f aca="false">IF(ISNUMBER(S29),IF(S29&gt;1,"NO CUMPLE",IF(S29&gt;lim_verde,"AL LÍMITE","CUMPLE")),"N/A")</f>
        <v>N/A</v>
      </c>
      <c r="U29" s="18" t="str">
        <f aca="false">IF(ISNUMBER(S29),INDEX(CALCULO!$D$110:$M$110,MATCH(MAX(CALCULO!$D$132:$M$132),CALCULO!$D$132:$M$132,0)),"—")</f>
        <v>—</v>
      </c>
    </row>
    <row r="30" customFormat="false" ht="15" hidden="false" customHeight="false" outlineLevel="0" collapsed="false">
      <c r="B30" s="7" t="s">
        <v>59</v>
      </c>
      <c r="C30" s="23" t="n">
        <f aca="false">INDEX(CATALOGOS!$N$5:$N$10,MATCH(co_acero,CATALOGOS!$M$5:$M$10,0))</f>
        <v>3515</v>
      </c>
      <c r="D30" s="11" t="s">
        <v>60</v>
      </c>
      <c r="G30" s="13" t="s">
        <v>97</v>
      </c>
      <c r="H30" s="26"/>
      <c r="I30" s="26"/>
      <c r="J30" s="27" t="str">
        <f aca="false">IF(INDEX(CALCULO!$D$111:$M$111,8)=1,INDEX(CALCULO!$D$114:$M$114,8),"—")</f>
        <v>—</v>
      </c>
      <c r="K30" s="28" t="str">
        <f aca="false">IF(INDEX(CALCULO!$D$111:$M$111,8)=1,INDEX(CALCULO!$D$115:$M$115,8)/1000,"—")</f>
        <v>—</v>
      </c>
      <c r="L30" s="29" t="str">
        <f aca="false">IF(INDEX(CALCULO!$D$111:$M$111,8)=1,INDEX(CALCULO!$D$138:$M$138,8),"—")</f>
        <v>—</v>
      </c>
      <c r="N30" s="15" t="s">
        <v>98</v>
      </c>
      <c r="O30" s="16" t="s">
        <v>99</v>
      </c>
      <c r="P30" s="17" t="str">
        <f aca="false">IF(OR(cp_usar="Sí",dos_lados="No"),"—",INDEX(CALCULO!$D$115:$M$115,MATCH(MAX(CALCULO!$D$133:$M$133),CALCULO!$D$133:$M$133,0))/1000)</f>
        <v>—</v>
      </c>
      <c r="Q30" s="17" t="str">
        <f aca="false">IF(OR(cp_usar="Sí",dos_lados="No"),"—",k_Rwb/1000)</f>
        <v>—</v>
      </c>
      <c r="R30" s="18" t="s">
        <v>40</v>
      </c>
      <c r="S30" s="19" t="str">
        <f aca="false">IF(OR(cp_usar="Sí",dos_lados="No"),"N/A",MAX(CALCULO!$D$133:$M$133))</f>
        <v>N/A</v>
      </c>
      <c r="T30" s="20" t="str">
        <f aca="false">IF(ISNUMBER(S30),IF(S30&gt;1,"NO CUMPLE",IF(S30&gt;lim_verde,"AL LÍMITE","CUMPLE")),"N/A")</f>
        <v>N/A</v>
      </c>
      <c r="U30" s="18" t="str">
        <f aca="false">IF(ISNUMBER(S30),INDEX(CALCULO!$D$110:$M$110,MATCH(MAX(CALCULO!$D$133:$M$133),CALCULO!$D$133:$M$133,0)),"—")</f>
        <v>—</v>
      </c>
    </row>
    <row r="31" customFormat="false" ht="15" hidden="false" customHeight="false" outlineLevel="0" collapsed="false">
      <c r="B31" s="7" t="s">
        <v>63</v>
      </c>
      <c r="C31" s="23" t="n">
        <f aca="false">INDEX(CATALOGOS!$O$5:$O$10,MATCH(co_acero,CATALOGOS!$M$5:$M$10,0))</f>
        <v>4570</v>
      </c>
      <c r="D31" s="11" t="s">
        <v>60</v>
      </c>
      <c r="G31" s="13" t="s">
        <v>100</v>
      </c>
      <c r="H31" s="26"/>
      <c r="I31" s="26"/>
      <c r="J31" s="27" t="str">
        <f aca="false">IF(INDEX(CALCULO!$D$111:$M$111,9)=1,INDEX(CALCULO!$D$114:$M$114,9),"—")</f>
        <v>—</v>
      </c>
      <c r="K31" s="28" t="str">
        <f aca="false">IF(INDEX(CALCULO!$D$111:$M$111,9)=1,INDEX(CALCULO!$D$115:$M$115,9)/1000,"—")</f>
        <v>—</v>
      </c>
      <c r="L31" s="29" t="str">
        <f aca="false">IF(INDEX(CALCULO!$D$111:$M$111,9)=1,INDEX(CALCULO!$D$138:$M$138,9),"—")</f>
        <v>—</v>
      </c>
      <c r="N31" s="15" t="s">
        <v>101</v>
      </c>
      <c r="O31" s="16" t="s">
        <v>102</v>
      </c>
      <c r="P31" s="17" t="n">
        <f aca="false">IF(cp_usar="No","—",INDEX(CALCULO!$D$134:$M$134,MATCH(MAX(CALCULO!$D$135:$M$135),CALCULO!$D$135:$M$135,0))/1000)</f>
        <v>0</v>
      </c>
      <c r="Q31" s="17" t="n">
        <f aca="false">IF(cp_usar="No","—",k_Rcp/1000)</f>
        <v>83.5164</v>
      </c>
      <c r="R31" s="18" t="s">
        <v>40</v>
      </c>
      <c r="S31" s="19" t="n">
        <f aca="false">IF(cp_usar="No","N/A",MAX(CALCULO!$D$135:$M$135))</f>
        <v>0</v>
      </c>
      <c r="T31" s="20" t="str">
        <f aca="false">IF(ISNUMBER(S31),IF(S31&gt;1,"NO CUMPLE",IF(S31&gt;lim_verde,"AL LÍMITE","CUMPLE")),"N/A")</f>
        <v>CUMPLE</v>
      </c>
      <c r="U31" s="18" t="str">
        <f aca="false">IF(ISNUMBER(S31),INDEX(CALCULO!$D$110:$M$110,MATCH(MAX(CALCULO!$D$135:$M$135),CALCULO!$D$135:$M$135,0)),"—")</f>
        <v>1.2D+1.6L</v>
      </c>
    </row>
    <row r="32" customFormat="false" ht="15" hidden="false" customHeight="false" outlineLevel="0" collapsed="false">
      <c r="B32" s="7" t="s">
        <v>103</v>
      </c>
      <c r="C32" s="13" t="n">
        <v>6</v>
      </c>
      <c r="D32" s="11" t="s">
        <v>42</v>
      </c>
      <c r="G32" s="13" t="s">
        <v>104</v>
      </c>
      <c r="H32" s="26"/>
      <c r="I32" s="26"/>
      <c r="J32" s="27" t="str">
        <f aca="false">IF(INDEX(CALCULO!$D$111:$M$111,10)=1,INDEX(CALCULO!$D$114:$M$114,10),"—")</f>
        <v>—</v>
      </c>
      <c r="K32" s="28" t="str">
        <f aca="false">IF(INDEX(CALCULO!$D$111:$M$111,10)=1,INDEX(CALCULO!$D$115:$M$115,10)/1000,"—")</f>
        <v>—</v>
      </c>
      <c r="L32" s="29" t="str">
        <f aca="false">IF(INDEX(CALCULO!$D$111:$M$111,10)=1,INDEX(CALCULO!$D$138:$M$138,10),"—")</f>
        <v>—</v>
      </c>
      <c r="N32" s="15" t="s">
        <v>105</v>
      </c>
      <c r="O32" s="16" t="s">
        <v>106</v>
      </c>
      <c r="P32" s="17" t="n">
        <f aca="false">INDEX(CALCULO!$D$136:$M$136,MATCH(MAX(CALCULO!$D$137:$M$137),CALCULO!$D$137:$M$137,0))/1000</f>
        <v>36.0824742268041</v>
      </c>
      <c r="Q32" s="17" t="n">
        <f aca="false">k_Rpz/1000</f>
        <v>94.905</v>
      </c>
      <c r="R32" s="18" t="s">
        <v>40</v>
      </c>
      <c r="S32" s="19" t="n">
        <f aca="false">MAX(CALCULO!$D$137:$M$137)</f>
        <v>0.380195713890776</v>
      </c>
      <c r="T32" s="20" t="str">
        <f aca="false">IF(ISNUMBER(S32),IF(S32&gt;1,"NO CUMPLE",IF(S32&gt;lim_verde,"AL LÍMITE","CUMPLE")),"N/A")</f>
        <v>CUMPLE</v>
      </c>
      <c r="U32" s="18" t="str">
        <f aca="false">IF(ISNUMBER(S32),INDEX(CALCULO!$D$110:$M$110,MATCH(MAX(CALCULO!$D$137:$M$137),CALCULO!$D$137:$M$137,0)),"—")</f>
        <v>1.2D+1.0E+L</v>
      </c>
    </row>
    <row r="33" customFormat="false" ht="15" hidden="false" customHeight="false" outlineLevel="0" collapsed="false">
      <c r="B33" s="7" t="s">
        <v>107</v>
      </c>
      <c r="C33" s="13" t="n">
        <v>1000</v>
      </c>
      <c r="D33" s="11" t="s">
        <v>42</v>
      </c>
      <c r="G33" s="31" t="str">
        <f aca="false">IF(LEFT(modo,3)="Sís","MODO SÍSMICO: la tabla no se usa; la demanda es Mf y Vu por capacidad (ver detalle).","Se usa |Mu| y |Vu|. Filas vacías se ignoran.")</f>
        <v>Se usa |Mu| y |Vu|. Filas vacías se ignoran.</v>
      </c>
      <c r="N33" s="14" t="s">
        <v>108</v>
      </c>
      <c r="O33" s="14"/>
      <c r="P33" s="14"/>
      <c r="Q33" s="14"/>
      <c r="R33" s="14"/>
      <c r="S33" s="14"/>
      <c r="T33" s="14"/>
      <c r="U33" s="14"/>
    </row>
    <row r="34" customFormat="false" ht="15" hidden="false" customHeight="false" outlineLevel="0" collapsed="false">
      <c r="B34" s="7" t="s">
        <v>109</v>
      </c>
      <c r="C34" s="13" t="s">
        <v>110</v>
      </c>
      <c r="D34" s="11"/>
      <c r="N34" s="15" t="s">
        <v>111</v>
      </c>
      <c r="O34" s="16" t="s">
        <v>112</v>
      </c>
      <c r="P34" s="17" t="n">
        <f aca="false">k_bf</f>
        <v>18</v>
      </c>
      <c r="Q34" s="17" t="n">
        <f aca="false">k_bp</f>
        <v>20</v>
      </c>
      <c r="R34" s="18" t="s">
        <v>113</v>
      </c>
      <c r="S34" s="19" t="n">
        <f aca="false">(k_bf)/MAX(k_bp,0.001)</f>
        <v>0.9</v>
      </c>
      <c r="T34" s="20" t="str">
        <f aca="false">IF(ISNUMBER(S34),IF(S34&gt;1,"NO CUMPLE",IF(S34&gt;lim_verde,"AL LÍMITE","CUMPLE")),"N/A")</f>
        <v>CUMPLE</v>
      </c>
      <c r="U34" s="18" t="s">
        <v>48</v>
      </c>
    </row>
    <row r="35" customFormat="false" ht="15" hidden="false" customHeight="false" outlineLevel="0" collapsed="false">
      <c r="B35" s="7" t="s">
        <v>114</v>
      </c>
      <c r="C35" s="10" t="n">
        <v>0</v>
      </c>
      <c r="D35" s="11" t="s">
        <v>31</v>
      </c>
      <c r="G35" s="2" t="s">
        <v>115</v>
      </c>
      <c r="H35" s="2"/>
      <c r="I35" s="2"/>
      <c r="J35" s="2"/>
      <c r="K35" s="2"/>
      <c r="L35" s="2"/>
      <c r="N35" s="15" t="s">
        <v>116</v>
      </c>
      <c r="O35" s="16" t="s">
        <v>117</v>
      </c>
      <c r="P35" s="17" t="n">
        <f aca="false">k_db+1.27</f>
        <v>3.4925</v>
      </c>
      <c r="Q35" s="17" t="n">
        <f aca="false">MIN(k_pfi,k_pfo)</f>
        <v>4.5</v>
      </c>
      <c r="R35" s="18" t="s">
        <v>113</v>
      </c>
      <c r="S35" s="19" t="n">
        <f aca="false">(k_db+1.27)/MAX(MIN(k_pfi,k_pfo),0.001)</f>
        <v>0.776111111111111</v>
      </c>
      <c r="T35" s="20" t="str">
        <f aca="false">IF(ISNUMBER(S35),IF(S35&gt;1,"NO CUMPLE",IF(S35&gt;lim_verde,"AL LÍMITE","CUMPLE")),"N/A")</f>
        <v>CUMPLE</v>
      </c>
      <c r="U35" s="18" t="s">
        <v>48</v>
      </c>
    </row>
    <row r="36" customFormat="false" ht="15" hidden="false" customHeight="false" outlineLevel="0" collapsed="false">
      <c r="B36" s="7" t="s">
        <v>118</v>
      </c>
      <c r="C36" s="10" t="n">
        <v>20</v>
      </c>
      <c r="D36" s="11" t="s">
        <v>40</v>
      </c>
      <c r="G36" s="32" t="s">
        <v>119</v>
      </c>
      <c r="H36" s="33" t="s">
        <v>79</v>
      </c>
      <c r="I36" s="33"/>
      <c r="K36" s="34" t="n">
        <f aca="false">IF(k_seis=1,1,IFERROR(MATCH(H36,cb_nom,0),1))</f>
        <v>2</v>
      </c>
      <c r="N36" s="15" t="s">
        <v>120</v>
      </c>
      <c r="O36" s="16" t="s">
        <v>121</v>
      </c>
      <c r="P36" s="17" t="n">
        <f aca="false">k_emin</f>
        <v>2.8575</v>
      </c>
      <c r="Q36" s="17" t="n">
        <f aca="false">k_de</f>
        <v>4</v>
      </c>
      <c r="R36" s="18" t="s">
        <v>113</v>
      </c>
      <c r="S36" s="19" t="n">
        <f aca="false">(k_emin)/MAX(k_de,0.001)</f>
        <v>0.714375</v>
      </c>
      <c r="T36" s="20" t="str">
        <f aca="false">IF(ISNUMBER(S36),IF(S36&gt;1,"NO CUMPLE",IF(S36&gt;lim_verde,"AL LÍMITE","CUMPLE")),"N/A")</f>
        <v>CUMPLE</v>
      </c>
      <c r="U36" s="18" t="s">
        <v>48</v>
      </c>
    </row>
    <row r="37" customFormat="false" ht="15" hidden="false" customHeight="false" outlineLevel="0" collapsed="false">
      <c r="B37" s="7" t="s">
        <v>101</v>
      </c>
      <c r="C37" s="13" t="s">
        <v>122</v>
      </c>
      <c r="D37" s="11"/>
      <c r="G37" s="35" t="s">
        <v>123</v>
      </c>
      <c r="H37" s="35"/>
      <c r="I37" s="35"/>
      <c r="J37" s="29" t="n">
        <f aca="false">INDEX(CALCULO!$D$112:$M$112,det_k)/100000</f>
        <v>14</v>
      </c>
      <c r="K37" s="11" t="s">
        <v>31</v>
      </c>
      <c r="N37" s="15" t="s">
        <v>124</v>
      </c>
      <c r="O37" s="16" t="s">
        <v>121</v>
      </c>
      <c r="P37" s="17" t="n">
        <f aca="false">k_emin</f>
        <v>2.8575</v>
      </c>
      <c r="Q37" s="17" t="n">
        <f aca="false">(k_bp-k_g)/2</f>
        <v>4.5</v>
      </c>
      <c r="R37" s="18" t="s">
        <v>113</v>
      </c>
      <c r="S37" s="19" t="n">
        <f aca="false">(k_emin)/MAX((k_bp-k_g)/2,0.001)</f>
        <v>0.635</v>
      </c>
      <c r="T37" s="20" t="str">
        <f aca="false">IF(ISNUMBER(S37),IF(S37&gt;1,"NO CUMPLE",IF(S37&gt;lim_verde,"AL LÍMITE","CUMPLE")),"N/A")</f>
        <v>CUMPLE</v>
      </c>
      <c r="U37" s="18" t="s">
        <v>48</v>
      </c>
    </row>
    <row r="38" customFormat="false" ht="15" hidden="false" customHeight="false" outlineLevel="0" collapsed="false">
      <c r="B38" s="7" t="s">
        <v>125</v>
      </c>
      <c r="C38" s="13" t="n">
        <v>12</v>
      </c>
      <c r="D38" s="11" t="s">
        <v>42</v>
      </c>
      <c r="G38" s="35" t="s">
        <v>126</v>
      </c>
      <c r="H38" s="35"/>
      <c r="I38" s="35"/>
      <c r="J38" s="29" t="n">
        <f aca="false">INDEX(CALCULO!$D$113:$M$113,det_k)/1000</f>
        <v>7</v>
      </c>
      <c r="K38" s="11" t="s">
        <v>40</v>
      </c>
      <c r="N38" s="15" t="s">
        <v>127</v>
      </c>
      <c r="O38" s="16" t="s">
        <v>128</v>
      </c>
      <c r="P38" s="17" t="n">
        <f aca="false">8/3*k_db</f>
        <v>5.92666666666667</v>
      </c>
      <c r="Q38" s="17" t="n">
        <f aca="false">k_g</f>
        <v>11</v>
      </c>
      <c r="R38" s="18" t="s">
        <v>113</v>
      </c>
      <c r="S38" s="19" t="n">
        <f aca="false">(8/3*k_db)/MAX(k_g,0.001)</f>
        <v>0.538787878787879</v>
      </c>
      <c r="T38" s="20" t="str">
        <f aca="false">IF(ISNUMBER(S38),IF(S38&gt;1,"NO CUMPLE",IF(S38&gt;lim_verde,"AL LÍMITE","CUMPLE")),"N/A")</f>
        <v>CUMPLE</v>
      </c>
      <c r="U38" s="18" t="s">
        <v>48</v>
      </c>
    </row>
    <row r="39" customFormat="false" ht="15" hidden="false" customHeight="false" outlineLevel="0" collapsed="false">
      <c r="B39" s="7" t="s">
        <v>129</v>
      </c>
      <c r="C39" s="13" t="n">
        <v>110</v>
      </c>
      <c r="D39" s="11" t="s">
        <v>42</v>
      </c>
      <c r="G39" s="35" t="s">
        <v>130</v>
      </c>
      <c r="H39" s="35"/>
      <c r="I39" s="35"/>
      <c r="J39" s="29" t="n">
        <f aca="false">INDEX(CALCULO!$D$115:$M$115,det_k)/1000</f>
        <v>36.0824742268041</v>
      </c>
      <c r="K39" s="11" t="s">
        <v>40</v>
      </c>
      <c r="N39" s="15" t="s">
        <v>131</v>
      </c>
      <c r="O39" s="16" t="s">
        <v>128</v>
      </c>
      <c r="P39" s="17" t="str">
        <f aca="false">IF(k_is8=0,"—",8/3*k_db)</f>
        <v>—</v>
      </c>
      <c r="Q39" s="17" t="str">
        <f aca="false">IF(k_is8=0,"—",k_pb)</f>
        <v>—</v>
      </c>
      <c r="R39" s="18" t="s">
        <v>113</v>
      </c>
      <c r="S39" s="19" t="str">
        <f aca="false">IF(k_is8=0,"N/A",(8/3*k_db)/MAX(k_pb,0.001))</f>
        <v>N/A</v>
      </c>
      <c r="T39" s="20" t="str">
        <f aca="false">IF(ISNUMBER(S39),IF(S39&gt;1,"NO CUMPLE",IF(S39&gt;lim_verde,"AL LÍMITE","CUMPLE")),"N/A")</f>
        <v>N/A</v>
      </c>
      <c r="U39" s="18" t="s">
        <v>48</v>
      </c>
    </row>
    <row r="40" customFormat="false" ht="15" hidden="false" customHeight="false" outlineLevel="0" collapsed="false">
      <c r="B40" s="2" t="s">
        <v>132</v>
      </c>
      <c r="C40" s="2"/>
      <c r="D40" s="2"/>
      <c r="E40" s="2"/>
      <c r="G40" s="35" t="s">
        <v>133</v>
      </c>
      <c r="H40" s="35"/>
      <c r="I40" s="35"/>
      <c r="J40" s="36" t="n">
        <f aca="false">INDEX(CALCULO!$D$114:$M$114,det_k)</f>
        <v>15.5564089610438</v>
      </c>
      <c r="K40" s="11" t="s">
        <v>42</v>
      </c>
      <c r="L40" s="37" t="n">
        <f aca="false">k_db*10</f>
        <v>22.225</v>
      </c>
      <c r="N40" s="15" t="s">
        <v>134</v>
      </c>
      <c r="O40" s="16" t="s">
        <v>135</v>
      </c>
      <c r="P40" s="17" t="n">
        <f aca="false">IF(k_seis=1,"—",IF(MIN(vg_tf_mm,pl_tp)&lt;=6,3,IF(MIN(vg_tf_mm,pl_tp)&lt;=13,5,IF(MIN(vg_tf_mm,pl_tp)&lt;=19,6,8))))</f>
        <v>5</v>
      </c>
      <c r="Q40" s="17" t="n">
        <f aca="false">IF(k_seis=1,"—",sd_wf)</f>
        <v>10</v>
      </c>
      <c r="R40" s="18" t="s">
        <v>42</v>
      </c>
      <c r="S40" s="19" t="n">
        <f aca="false">IF(k_seis=1,"N/A",(IF(MIN(vg_tf_mm,pl_tp)&lt;=6,3,IF(MIN(vg_tf_mm,pl_tp)&lt;=13,5,IF(MIN(vg_tf_mm,pl_tp)&lt;=19,6,8))))/MAX(sd_wf,0.001))</f>
        <v>0.5</v>
      </c>
      <c r="T40" s="20" t="str">
        <f aca="false">IF(ISNUMBER(S40),IF(S40&gt;1,"NO CUMPLE",IF(S40&gt;lim_verde,"AL LÍMITE","CUMPLE")),"N/A")</f>
        <v>CUMPLE</v>
      </c>
      <c r="U40" s="18" t="s">
        <v>48</v>
      </c>
    </row>
    <row r="41" customFormat="false" ht="15" hidden="false" customHeight="false" outlineLevel="0" collapsed="false">
      <c r="B41" s="7" t="s">
        <v>55</v>
      </c>
      <c r="C41" s="13" t="s">
        <v>56</v>
      </c>
      <c r="D41" s="13"/>
      <c r="G41" s="35" t="s">
        <v>136</v>
      </c>
      <c r="H41" s="35"/>
      <c r="I41" s="35"/>
      <c r="J41" s="29" t="n">
        <f aca="false">k_phin*k_Mnp/100000</f>
        <v>28.5754363903046</v>
      </c>
      <c r="K41" s="11" t="s">
        <v>31</v>
      </c>
      <c r="N41" s="15" t="s">
        <v>137</v>
      </c>
      <c r="O41" s="16" t="s">
        <v>135</v>
      </c>
      <c r="P41" s="17" t="n">
        <f aca="false">IF(MIN(vg_tw_mm,pl_tp)&lt;=6,3,IF(MIN(vg_tw_mm,pl_tp)&lt;=13,5,IF(MIN(vg_tw_mm,pl_tp)&lt;=19,6,8)))</f>
        <v>3</v>
      </c>
      <c r="Q41" s="17" t="n">
        <f aca="false">sd_ww</f>
        <v>6</v>
      </c>
      <c r="R41" s="18" t="s">
        <v>42</v>
      </c>
      <c r="S41" s="19" t="n">
        <f aca="false">(IF(MIN(vg_tw_mm,pl_tp)&lt;=6,3,IF(MIN(vg_tw_mm,pl_tp)&lt;=13,5,IF(MIN(vg_tw_mm,pl_tp)&lt;=19,6,8))))/MAX(sd_ww,0.001)</f>
        <v>0.5</v>
      </c>
      <c r="T41" s="20" t="str">
        <f aca="false">IF(ISNUMBER(S41),IF(S41&gt;1,"NO CUMPLE",IF(S41&gt;lim_verde,"AL LÍMITE","CUMPLE")),"N/A")</f>
        <v>CUMPLE</v>
      </c>
      <c r="U41" s="18" t="s">
        <v>48</v>
      </c>
    </row>
    <row r="42" customFormat="false" ht="15" hidden="false" customHeight="false" outlineLevel="0" collapsed="false">
      <c r="B42" s="7" t="s">
        <v>59</v>
      </c>
      <c r="C42" s="23" t="n">
        <f aca="false">INDEX(CATALOGOS!$N$5:$N$10,MATCH(pl_acero,CATALOGOS!$M$5:$M$10,0))</f>
        <v>3515</v>
      </c>
      <c r="D42" s="11" t="s">
        <v>60</v>
      </c>
      <c r="G42" s="35" t="s">
        <v>138</v>
      </c>
      <c r="H42" s="35"/>
      <c r="I42" s="35"/>
      <c r="J42" s="36" t="n">
        <f aca="false">k_Yp</f>
        <v>285.899313177217</v>
      </c>
      <c r="K42" s="11" t="s">
        <v>113</v>
      </c>
      <c r="L42" s="38" t="str">
        <f aca="false">IF(cfg="4E","único",IF(k_de&lt;=k_s,"de ≤ s","de &gt; s"))</f>
        <v>único</v>
      </c>
      <c r="N42" s="15" t="s">
        <v>139</v>
      </c>
      <c r="O42" s="16" t="s">
        <v>140</v>
      </c>
      <c r="P42" s="17" t="n">
        <f aca="false">IF(cp_usar="No","—",k_bf/3-k_ctw/2)</f>
        <v>5.5</v>
      </c>
      <c r="Q42" s="17" t="n">
        <f aca="false">IF(cp_usar="No","—",cp_b/10)</f>
        <v>11</v>
      </c>
      <c r="R42" s="18" t="s">
        <v>113</v>
      </c>
      <c r="S42" s="19" t="n">
        <f aca="false">IF(cp_usar="No","N/A",(k_bf/3-k_ctw/2)/MAX(cp_b/10,0.001))</f>
        <v>0.5</v>
      </c>
      <c r="T42" s="20" t="str">
        <f aca="false">IF(ISNUMBER(S42),IF(S42&gt;1,"NO CUMPLE",IF(S42&gt;lim_verde,"AL LÍMITE","CUMPLE")),"N/A")</f>
        <v>CUMPLE</v>
      </c>
      <c r="U42" s="18" t="s">
        <v>48</v>
      </c>
    </row>
    <row r="43" customFormat="false" ht="15" hidden="false" customHeight="false" outlineLevel="0" collapsed="false">
      <c r="B43" s="7" t="s">
        <v>63</v>
      </c>
      <c r="C43" s="23" t="n">
        <f aca="false">INDEX(CATALOGOS!$O$5:$O$10,MATCH(pl_acero,CATALOGOS!$M$5:$M$10,0))</f>
        <v>4570</v>
      </c>
      <c r="D43" s="11" t="s">
        <v>60</v>
      </c>
      <c r="G43" s="35" t="s">
        <v>141</v>
      </c>
      <c r="H43" s="35"/>
      <c r="I43" s="35"/>
      <c r="J43" s="36" t="n">
        <f aca="false">INDEX(CALCULO!$D$119:$M$119,det_k)</f>
        <v>18.7269671945167</v>
      </c>
      <c r="K43" s="11" t="s">
        <v>42</v>
      </c>
      <c r="L43" s="39" t="n">
        <f aca="false">pl_tp</f>
        <v>25</v>
      </c>
      <c r="N43" s="15" t="s">
        <v>142</v>
      </c>
      <c r="O43" s="16" t="s">
        <v>140</v>
      </c>
      <c r="P43" s="17" t="n">
        <f aca="false">IF(cp_usar="No","—",k_tf/2)</f>
        <v>0.6</v>
      </c>
      <c r="Q43" s="17" t="n">
        <f aca="false">IF(cp_usar="No","—",cp_t/10)</f>
        <v>1.2</v>
      </c>
      <c r="R43" s="18" t="s">
        <v>113</v>
      </c>
      <c r="S43" s="19" t="n">
        <f aca="false">IF(cp_usar="No","N/A",(k_tf/2)/MAX(cp_t/10,0.001))</f>
        <v>0.5</v>
      </c>
      <c r="T43" s="20" t="str">
        <f aca="false">IF(ISNUMBER(S43),IF(S43&gt;1,"NO CUMPLE",IF(S43&gt;lim_verde,"AL LÍMITE","CUMPLE")),"N/A")</f>
        <v>CUMPLE</v>
      </c>
      <c r="U43" s="18" t="s">
        <v>48</v>
      </c>
    </row>
    <row r="44" customFormat="false" ht="15" hidden="false" customHeight="false" outlineLevel="0" collapsed="false">
      <c r="B44" s="7" t="s">
        <v>143</v>
      </c>
      <c r="C44" s="13" t="n">
        <v>200</v>
      </c>
      <c r="D44" s="11" t="s">
        <v>42</v>
      </c>
      <c r="G44" s="35" t="s">
        <v>144</v>
      </c>
      <c r="H44" s="35"/>
      <c r="I44" s="35"/>
      <c r="J44" s="36" t="n">
        <f aca="false">k_Yc</f>
        <v>513.019268038809</v>
      </c>
      <c r="K44" s="11" t="s">
        <v>113</v>
      </c>
      <c r="N44" s="15" t="s">
        <v>145</v>
      </c>
      <c r="O44" s="16" t="s">
        <v>146</v>
      </c>
      <c r="P44" s="30" t="n">
        <f aca="false">k_rgn</f>
        <v>0</v>
      </c>
      <c r="Q44" s="18" t="s">
        <v>147</v>
      </c>
      <c r="R44" s="18" t="s">
        <v>148</v>
      </c>
      <c r="S44" s="19" t="n">
        <f aca="false">IF(k_rgn=0,0,IF(k_seis=1,1.5,0.95))</f>
        <v>0</v>
      </c>
      <c r="T44" s="20" t="str">
        <f aca="false">IF(k_rgn=0,"CUMPLE",IF(k_seis=1,"NO CUMPLE","AL LÍMITE"))</f>
        <v>CUMPLE</v>
      </c>
      <c r="U44" s="18" t="s">
        <v>48</v>
      </c>
    </row>
    <row r="45" customFormat="false" ht="15" hidden="false" customHeight="false" outlineLevel="0" collapsed="false">
      <c r="B45" s="7" t="s">
        <v>149</v>
      </c>
      <c r="C45" s="13" t="n">
        <v>25</v>
      </c>
      <c r="D45" s="11" t="s">
        <v>42</v>
      </c>
      <c r="G45" s="35" t="s">
        <v>150</v>
      </c>
      <c r="H45" s="35"/>
      <c r="I45" s="35"/>
      <c r="J45" s="36" t="n">
        <f aca="false">INDEX(CALCULO!$D$130:$M$130,det_k)</f>
        <v>13.9799998700208</v>
      </c>
      <c r="K45" s="11" t="s">
        <v>42</v>
      </c>
      <c r="L45" s="37" t="n">
        <f aca="false">co_tf_mm</f>
        <v>15</v>
      </c>
    </row>
    <row r="46" customFormat="false" ht="15" hidden="false" customHeight="false" outlineLevel="0" collapsed="false">
      <c r="B46" s="7" t="s">
        <v>151</v>
      </c>
      <c r="C46" s="13" t="n">
        <v>110</v>
      </c>
      <c r="D46" s="11" t="s">
        <v>42</v>
      </c>
      <c r="G46" s="35" t="s">
        <v>152</v>
      </c>
      <c r="H46" s="35"/>
      <c r="I46" s="35"/>
      <c r="J46" s="29" t="n">
        <f aca="false">INDEX(CALCULO!$D$134:$M$134,det_k)/1000</f>
        <v>0</v>
      </c>
      <c r="K46" s="11" t="s">
        <v>40</v>
      </c>
      <c r="N46" s="2" t="s">
        <v>153</v>
      </c>
      <c r="O46" s="2"/>
      <c r="P46" s="2"/>
      <c r="Q46" s="2"/>
      <c r="R46" s="2"/>
      <c r="S46" s="2"/>
      <c r="T46" s="2"/>
      <c r="U46" s="2"/>
    </row>
    <row r="47" customFormat="false" ht="15" hidden="false" customHeight="false" outlineLevel="0" collapsed="false">
      <c r="B47" s="7" t="s">
        <v>154</v>
      </c>
      <c r="C47" s="13" t="n">
        <v>45</v>
      </c>
      <c r="D47" s="11" t="s">
        <v>42</v>
      </c>
      <c r="G47" s="35" t="s">
        <v>155</v>
      </c>
      <c r="H47" s="35"/>
      <c r="I47" s="35"/>
      <c r="J47" s="29" t="n">
        <f aca="false">k_Mpe/100000</f>
        <v>46.69727832</v>
      </c>
      <c r="K47" s="11" t="s">
        <v>31</v>
      </c>
      <c r="L47" s="38" t="str">
        <f aca="false">TEXT(k_Shr,"0.0")&amp;" / "&amp;TEXT(k_Lh,"0")&amp;" cm"</f>
        <v>20.0 / 710 cm</v>
      </c>
      <c r="N47" s="40" t="s">
        <v>156</v>
      </c>
      <c r="O47" s="40"/>
      <c r="P47" s="40"/>
      <c r="Q47" s="40"/>
      <c r="R47" s="40"/>
      <c r="S47" s="40"/>
      <c r="T47" s="40"/>
      <c r="U47" s="40"/>
    </row>
    <row r="48" customFormat="false" ht="15" hidden="false" customHeight="false" outlineLevel="0" collapsed="false">
      <c r="B48" s="7" t="s">
        <v>157</v>
      </c>
      <c r="C48" s="13" t="n">
        <v>45</v>
      </c>
      <c r="D48" s="11" t="s">
        <v>42</v>
      </c>
      <c r="G48" s="35" t="s">
        <v>158</v>
      </c>
      <c r="H48" s="35"/>
      <c r="I48" s="35"/>
      <c r="J48" s="29" t="n">
        <f aca="false">INDEX(CALCULO!$D$138:$M$138,det_k)</f>
        <v>0.868623983847918</v>
      </c>
      <c r="K48" s="11"/>
      <c r="N48" s="40" t="s">
        <v>159</v>
      </c>
      <c r="O48" s="40"/>
      <c r="P48" s="40"/>
      <c r="Q48" s="40"/>
      <c r="R48" s="40"/>
      <c r="S48" s="40"/>
      <c r="T48" s="40"/>
      <c r="U48" s="40"/>
    </row>
    <row r="49" customFormat="false" ht="15" hidden="false" customHeight="false" outlineLevel="0" collapsed="false">
      <c r="B49" s="7" t="s">
        <v>160</v>
      </c>
      <c r="C49" s="13" t="n">
        <v>90</v>
      </c>
      <c r="D49" s="11" t="s">
        <v>42</v>
      </c>
      <c r="N49" s="40" t="s">
        <v>161</v>
      </c>
      <c r="O49" s="40"/>
      <c r="P49" s="40"/>
      <c r="Q49" s="40"/>
      <c r="R49" s="40"/>
      <c r="S49" s="40"/>
      <c r="T49" s="40"/>
      <c r="U49" s="40"/>
    </row>
    <row r="50" customFormat="false" ht="15" hidden="false" customHeight="false" outlineLevel="0" collapsed="false">
      <c r="B50" s="7" t="s">
        <v>162</v>
      </c>
      <c r="C50" s="13" t="n">
        <v>40</v>
      </c>
      <c r="D50" s="11" t="s">
        <v>42</v>
      </c>
      <c r="N50" s="40" t="s">
        <v>163</v>
      </c>
      <c r="O50" s="40"/>
      <c r="P50" s="40"/>
      <c r="Q50" s="40"/>
      <c r="R50" s="40"/>
      <c r="S50" s="40"/>
      <c r="T50" s="40"/>
      <c r="U50" s="40"/>
    </row>
    <row r="51" customFormat="false" ht="15" hidden="false" customHeight="false" outlineLevel="0" collapsed="false">
      <c r="B51" s="2" t="s">
        <v>164</v>
      </c>
      <c r="C51" s="2"/>
      <c r="D51" s="2"/>
      <c r="E51" s="2"/>
      <c r="N51" s="40" t="s">
        <v>165</v>
      </c>
      <c r="O51" s="40"/>
      <c r="P51" s="40"/>
      <c r="Q51" s="40"/>
      <c r="R51" s="40"/>
      <c r="S51" s="40"/>
      <c r="T51" s="40"/>
      <c r="U51" s="40"/>
    </row>
    <row r="52" customFormat="false" ht="15" hidden="false" customHeight="false" outlineLevel="0" collapsed="false">
      <c r="B52" s="7" t="s">
        <v>166</v>
      </c>
      <c r="C52" s="13" t="s">
        <v>167</v>
      </c>
      <c r="D52" s="13"/>
      <c r="N52" s="40" t="s">
        <v>168</v>
      </c>
      <c r="O52" s="40"/>
      <c r="P52" s="40"/>
      <c r="Q52" s="40"/>
      <c r="R52" s="40"/>
      <c r="S52" s="40"/>
      <c r="T52" s="40"/>
      <c r="U52" s="40"/>
    </row>
    <row r="53" customFormat="false" ht="15" hidden="false" customHeight="false" outlineLevel="0" collapsed="false">
      <c r="B53" s="7" t="s">
        <v>169</v>
      </c>
      <c r="C53" s="23" t="n">
        <f aca="false">INDEX(CATALOGOS!$S$5:$S$8,MATCH(pn_grado,CATALOGOS!$R$5:$R$8,0))</f>
        <v>6328</v>
      </c>
      <c r="D53" s="11" t="s">
        <v>60</v>
      </c>
      <c r="N53" s="40" t="s">
        <v>170</v>
      </c>
      <c r="O53" s="40"/>
      <c r="P53" s="40"/>
      <c r="Q53" s="40"/>
      <c r="R53" s="40"/>
      <c r="S53" s="40"/>
      <c r="T53" s="40"/>
      <c r="U53" s="40"/>
    </row>
    <row r="54" customFormat="false" ht="15" hidden="false" customHeight="false" outlineLevel="0" collapsed="false">
      <c r="B54" s="7" t="s">
        <v>171</v>
      </c>
      <c r="C54" s="23" t="n">
        <f aca="false">INDEX(CATALOGOS!$T$5:$T$8,MATCH(pn_grado,CATALOGOS!$R$5:$R$8,0))</f>
        <v>3797</v>
      </c>
      <c r="D54" s="11" t="s">
        <v>60</v>
      </c>
      <c r="N54" s="40" t="s">
        <v>172</v>
      </c>
      <c r="O54" s="40"/>
      <c r="P54" s="40"/>
      <c r="Q54" s="40"/>
      <c r="R54" s="40"/>
      <c r="S54" s="40"/>
      <c r="T54" s="40"/>
      <c r="U54" s="40"/>
    </row>
    <row r="55" customFormat="false" ht="15" hidden="false" customHeight="false" outlineLevel="0" collapsed="false">
      <c r="B55" s="7" t="s">
        <v>173</v>
      </c>
      <c r="C55" s="13" t="s">
        <v>174</v>
      </c>
      <c r="D55" s="13"/>
    </row>
    <row r="56" customFormat="false" ht="15" hidden="false" customHeight="false" outlineLevel="0" collapsed="false">
      <c r="B56" s="2" t="s">
        <v>175</v>
      </c>
      <c r="C56" s="2"/>
      <c r="D56" s="2"/>
      <c r="E56" s="2"/>
    </row>
    <row r="57" customFormat="false" ht="15" hidden="false" customHeight="false" outlineLevel="0" collapsed="false">
      <c r="B57" s="7" t="s">
        <v>176</v>
      </c>
      <c r="C57" s="13" t="n">
        <v>10</v>
      </c>
      <c r="D57" s="11" t="s">
        <v>42</v>
      </c>
    </row>
    <row r="58" customFormat="false" ht="15" hidden="false" customHeight="false" outlineLevel="0" collapsed="false">
      <c r="B58" s="7" t="s">
        <v>55</v>
      </c>
      <c r="C58" s="13" t="s">
        <v>56</v>
      </c>
      <c r="D58" s="13"/>
    </row>
    <row r="59" customFormat="false" ht="15" hidden="false" customHeight="false" outlineLevel="0" collapsed="false">
      <c r="B59" s="7" t="s">
        <v>177</v>
      </c>
      <c r="C59" s="23" t="n">
        <f aca="false">INDEX(CATALOGOS!$N$5:$N$10,MATCH(st_acero,CATALOGOS!$M$5:$M$10,0))</f>
        <v>3515</v>
      </c>
      <c r="D59" s="11" t="s">
        <v>60</v>
      </c>
    </row>
    <row r="60" customFormat="false" ht="15" hidden="false" customHeight="false" outlineLevel="0" collapsed="false">
      <c r="B60" s="2" t="s">
        <v>178</v>
      </c>
      <c r="C60" s="2"/>
      <c r="D60" s="2"/>
      <c r="E60" s="2"/>
    </row>
    <row r="61" customFormat="false" ht="15" hidden="false" customHeight="false" outlineLevel="0" collapsed="false">
      <c r="B61" s="7" t="s">
        <v>179</v>
      </c>
      <c r="C61" s="13" t="s">
        <v>180</v>
      </c>
      <c r="D61" s="13"/>
    </row>
    <row r="62" customFormat="false" ht="15" hidden="false" customHeight="false" outlineLevel="0" collapsed="false">
      <c r="B62" s="7" t="s">
        <v>181</v>
      </c>
      <c r="C62" s="13" t="n">
        <v>10</v>
      </c>
      <c r="D62" s="11" t="s">
        <v>42</v>
      </c>
    </row>
    <row r="63" customFormat="false" ht="15" hidden="false" customHeight="false" outlineLevel="0" collapsed="false">
      <c r="B63" s="7" t="s">
        <v>182</v>
      </c>
      <c r="C63" s="13" t="n">
        <v>6</v>
      </c>
      <c r="D63" s="11" t="s">
        <v>42</v>
      </c>
    </row>
    <row r="64" customFormat="false" ht="15" hidden="false" customHeight="false" outlineLevel="0" collapsed="false">
      <c r="B64" s="2" t="s">
        <v>183</v>
      </c>
      <c r="C64" s="2"/>
      <c r="D64" s="2"/>
      <c r="E64" s="2"/>
    </row>
    <row r="65" customFormat="false" ht="15" hidden="false" customHeight="false" outlineLevel="0" collapsed="false">
      <c r="B65" s="7" t="s">
        <v>184</v>
      </c>
      <c r="C65" s="10" t="n">
        <v>8</v>
      </c>
      <c r="D65" s="11" t="s">
        <v>185</v>
      </c>
    </row>
    <row r="66" customFormat="false" ht="15" hidden="false" customHeight="false" outlineLevel="0" collapsed="false">
      <c r="B66" s="7" t="s">
        <v>186</v>
      </c>
      <c r="C66" s="10" t="n">
        <v>3</v>
      </c>
      <c r="D66" s="11" t="s">
        <v>40</v>
      </c>
    </row>
  </sheetData>
  <mergeCells count="57">
    <mergeCell ref="B2:U2"/>
    <mergeCell ref="B3:U3"/>
    <mergeCell ref="B6:E6"/>
    <mergeCell ref="G6:I6"/>
    <mergeCell ref="J6:L6"/>
    <mergeCell ref="N6:U6"/>
    <mergeCell ref="C7:E7"/>
    <mergeCell ref="N7:U8"/>
    <mergeCell ref="C8:E8"/>
    <mergeCell ref="B10:E10"/>
    <mergeCell ref="C11:D11"/>
    <mergeCell ref="N11:U11"/>
    <mergeCell ref="C12:D12"/>
    <mergeCell ref="B13:E13"/>
    <mergeCell ref="C14:D14"/>
    <mergeCell ref="N18:U18"/>
    <mergeCell ref="C19:D19"/>
    <mergeCell ref="G21:L21"/>
    <mergeCell ref="N22:U22"/>
    <mergeCell ref="B23:E23"/>
    <mergeCell ref="C24:D24"/>
    <mergeCell ref="N26:U26"/>
    <mergeCell ref="C29:D29"/>
    <mergeCell ref="N33:U33"/>
    <mergeCell ref="G35:L35"/>
    <mergeCell ref="H36:I36"/>
    <mergeCell ref="G37:I37"/>
    <mergeCell ref="G38:I38"/>
    <mergeCell ref="G39:I39"/>
    <mergeCell ref="B40:E40"/>
    <mergeCell ref="G40:I40"/>
    <mergeCell ref="C41:D41"/>
    <mergeCell ref="G41:I41"/>
    <mergeCell ref="G42:I42"/>
    <mergeCell ref="G43:I43"/>
    <mergeCell ref="G44:I44"/>
    <mergeCell ref="G45:I45"/>
    <mergeCell ref="G46:I46"/>
    <mergeCell ref="N46:U46"/>
    <mergeCell ref="G47:I47"/>
    <mergeCell ref="N47:U47"/>
    <mergeCell ref="G48:I48"/>
    <mergeCell ref="N48:U48"/>
    <mergeCell ref="N49:U49"/>
    <mergeCell ref="N50:U50"/>
    <mergeCell ref="B51:E51"/>
    <mergeCell ref="N51:U51"/>
    <mergeCell ref="C52:D52"/>
    <mergeCell ref="N52:U52"/>
    <mergeCell ref="N53:U53"/>
    <mergeCell ref="N54:U54"/>
    <mergeCell ref="C55:D55"/>
    <mergeCell ref="B56:E56"/>
    <mergeCell ref="C58:D58"/>
    <mergeCell ref="B60:E60"/>
    <mergeCell ref="C61:D61"/>
    <mergeCell ref="B64:E64"/>
  </mergeCells>
  <conditionalFormatting sqref="S12:S44">
    <cfRule type="expression" priority="2" aboveAverage="0" equalAverage="0" bottom="0" percent="0" rank="0" text="" dxfId="0">
      <formula>AND(ISNUMBER(S12),S12&gt;1)</formula>
    </cfRule>
    <cfRule type="expression" priority="3" aboveAverage="0" equalAverage="0" bottom="0" percent="0" rank="0" text="" dxfId="1">
      <formula>AND(ISNUMBER(S12),S12&gt;lim_verde,S12&lt;=1)</formula>
    </cfRule>
    <cfRule type="expression" priority="4" aboveAverage="0" equalAverage="0" bottom="0" percent="0" rank="0" text="" dxfId="2">
      <formula>AND(ISNUMBER(S12),S12&lt;=lim_verde)</formula>
    </cfRule>
  </conditionalFormatting>
  <conditionalFormatting sqref="L23:L32">
    <cfRule type="expression" priority="5" aboveAverage="0" equalAverage="0" bottom="0" percent="0" rank="0" text="" dxfId="0">
      <formula>AND(ISNUMBER(L23),L23&gt;1)</formula>
    </cfRule>
    <cfRule type="expression" priority="6" aboveAverage="0" equalAverage="0" bottom="0" percent="0" rank="0" text="" dxfId="1">
      <formula>AND(ISNUMBER(L23),L23&gt;lim_verde,L23&lt;=1)</formula>
    </cfRule>
    <cfRule type="expression" priority="7" aboveAverage="0" equalAverage="0" bottom="0" percent="0" rank="0" text="" dxfId="2">
      <formula>AND(ISNUMBER(L23),L23&lt;=lim_verde)</formula>
    </cfRule>
  </conditionalFormatting>
  <conditionalFormatting sqref="J48">
    <cfRule type="expression" priority="8" aboveAverage="0" equalAverage="0" bottom="0" percent="0" rank="0" text="" dxfId="0">
      <formula>AND(ISNUMBER(J48),J48&gt;1)</formula>
    </cfRule>
    <cfRule type="expression" priority="9" aboveAverage="0" equalAverage="0" bottom="0" percent="0" rank="0" text="" dxfId="1">
      <formula>AND(ISNUMBER(J48),J48&gt;lim_verde,J48&lt;=1)</formula>
    </cfRule>
    <cfRule type="expression" priority="10" aboveAverage="0" equalAverage="0" bottom="0" percent="0" rank="0" text="" dxfId="2">
      <formula>AND(ISNUMBER(J48),J48&lt;=lim_verde)</formula>
    </cfRule>
  </conditionalFormatting>
  <conditionalFormatting sqref="T12:T44">
    <cfRule type="expression" priority="11" aboveAverage="0" equalAverage="0" bottom="0" percent="0" rank="0" text="" dxfId="0">
      <formula>T12="NO CUMPLE"</formula>
    </cfRule>
    <cfRule type="expression" priority="12" aboveAverage="0" equalAverage="0" bottom="0" percent="0" rank="0" text="" dxfId="1">
      <formula>T12="AL LÍMITE"</formula>
    </cfRule>
    <cfRule type="expression" priority="13" aboveAverage="0" equalAverage="0" bottom="0" percent="0" rank="0" text="" dxfId="2">
      <formula>T12="CUMPLE"</formula>
    </cfRule>
    <cfRule type="expression" priority="14" aboveAverage="0" equalAverage="0" bottom="0" percent="0" rank="0" text="" dxfId="3">
      <formula>T12="N/A"</formula>
    </cfRule>
  </conditionalFormatting>
  <conditionalFormatting sqref="N7:U8">
    <cfRule type="expression" priority="15" aboveAverage="0" equalAverage="0" bottom="0" percent="0" rank="0" text="" dxfId="4">
      <formula>LEFT($N$7,1)="✖"</formula>
    </cfRule>
    <cfRule type="expression" priority="16" aboveAverage="0" equalAverage="0" bottom="0" percent="0" rank="0" text="" dxfId="5">
      <formula>LEFT($N$7,1)="▲"</formula>
    </cfRule>
    <cfRule type="expression" priority="17" aboveAverage="0" equalAverage="0" bottom="0" percent="0" rank="0" text="" dxfId="6">
      <formula>LEFT($N$7,1)="✔"</formula>
    </cfRule>
  </conditionalFormatting>
  <conditionalFormatting sqref="E15:E18">
    <cfRule type="expression" priority="18" aboveAverage="0" equalAverage="0" bottom="0" percent="0" rank="0" text="" dxfId="7">
      <formula>$C$14&lt;&gt;"ARMADO (flejes soldados)"</formula>
    </cfRule>
  </conditionalFormatting>
  <conditionalFormatting sqref="E25:E28">
    <cfRule type="expression" priority="19" aboveAverage="0" equalAverage="0" bottom="0" percent="0" rank="0" text="" dxfId="7">
      <formula>$C$24&lt;&gt;"ARMADO (flejes soldados)"</formula>
    </cfRule>
  </conditionalFormatting>
  <conditionalFormatting sqref="C38:C39">
    <cfRule type="expression" priority="20" aboveAverage="0" equalAverage="0" bottom="0" percent="0" rank="0" text="" dxfId="7">
      <formula>$C$37&lt;&gt;"Sí"</formula>
    </cfRule>
  </conditionalFormatting>
  <conditionalFormatting sqref="C49">
    <cfRule type="expression" priority="21" aboveAverage="0" equalAverage="0" bottom="0" percent="0" rank="0" text="" dxfId="7">
      <formula>$C$11&lt;&gt;"8ES"</formula>
    </cfRule>
  </conditionalFormatting>
  <conditionalFormatting sqref="C57:C58">
    <cfRule type="expression" priority="22" aboveAverage="0" equalAverage="0" bottom="0" percent="0" rank="0" text="" dxfId="7">
      <formula>$C$11="4E"</formula>
    </cfRule>
  </conditionalFormatting>
  <conditionalFormatting sqref="C62">
    <cfRule type="expression" priority="23" aboveAverage="0" equalAverage="0" bottom="0" percent="0" rank="0" text="" dxfId="7">
      <formula>LEFT($C$12,3)="Sís"</formula>
    </cfRule>
  </conditionalFormatting>
  <conditionalFormatting sqref="C65:C66">
    <cfRule type="expression" priority="24" aboveAverage="0" equalAverage="0" bottom="0" percent="0" rank="0" text="" dxfId="7">
      <formula>LEFT($C$12,3)&lt;&gt;"Sís"</formula>
    </cfRule>
  </conditionalFormatting>
  <conditionalFormatting sqref="G23:I32">
    <cfRule type="expression" priority="25" aboveAverage="0" equalAverage="0" bottom="0" percent="0" rank="0" text="" dxfId="7">
      <formula>LEFT($C$12,3)="Sís"</formula>
    </cfRule>
  </conditionalFormatting>
  <conditionalFormatting sqref="C35">
    <cfRule type="expression" priority="26" aboveAverage="0" equalAverage="0" bottom="0" percent="0" rank="0" text="" dxfId="7">
      <formula>$C$34&lt;&gt;"Sí"</formula>
    </cfRule>
  </conditionalFormatting>
  <dataValidations count="11">
    <dataValidation allowBlank="true" errorStyle="stop" operator="between" showDropDown="false" showErrorMessage="false" showInputMessage="false" sqref="C34 C37" type="list">
      <formula1>CATALOGOS!$AC$5:$AC$6</formula1>
      <formula2>0</formula2>
    </dataValidation>
    <dataValidation allowBlank="true" errorStyle="stop" operator="between" showDropDown="false" showErrorMessage="false" showInputMessage="false" sqref="C19 C29 C41 C58" type="list">
      <formula1>CATALOGOS!$M$5:$M$10</formula1>
      <formula2>0</formula2>
    </dataValidation>
    <dataValidation allowBlank="true" error="Valor fuera de la lista. ¿Usarlo igual?" errorStyle="warning" operator="between" showDropDown="false" showErrorMessage="false" showInputMessage="false" sqref="C38 C45 C57" type="list">
      <formula1>CATALOGOS!$AI$5:$AI$30</formula1>
      <formula2>0</formula2>
    </dataValidation>
    <dataValidation allowBlank="true" errorStyle="stop" operator="between" showDropDown="false" showErrorMessage="false" showInputMessage="false" sqref="C11" type="list">
      <formula1>CATALOGOS!$AE$5:$AE$7</formula1>
      <formula2>0</formula2>
    </dataValidation>
    <dataValidation allowBlank="true" errorStyle="stop" operator="between" showDropDown="false" showErrorMessage="false" showInputMessage="false" sqref="C12" type="list">
      <formula1>CATALOGOS!$AG$5:$AG$6</formula1>
      <formula2>0</formula2>
    </dataValidation>
    <dataValidation allowBlank="true" errorStyle="stop" operator="between" showDropDown="false" showErrorMessage="false" showInputMessage="false" sqref="C14" type="list">
      <formula1>CATALOGOS!$A$5:$A$40</formula1>
      <formula2>0</formula2>
    </dataValidation>
    <dataValidation allowBlank="true" errorStyle="stop" operator="between" showDropDown="false" showErrorMessage="false" showInputMessage="false" sqref="C24" type="list">
      <formula1>CATALOGOS!$G$5:$G$40</formula1>
      <formula2>0</formula2>
    </dataValidation>
    <dataValidation allowBlank="true" errorStyle="stop" operator="between" showDropDown="false" showErrorMessage="false" showInputMessage="false" sqref="C52" type="list">
      <formula1>CATALOGOS!$R$5:$R$8</formula1>
      <formula2>0</formula2>
    </dataValidation>
    <dataValidation allowBlank="true" errorStyle="stop" operator="between" showDropDown="false" showErrorMessage="false" showInputMessage="false" sqref="C55" type="list">
      <formula1>CATALOGOS!$V$5:$V$12</formula1>
      <formula2>0</formula2>
    </dataValidation>
    <dataValidation allowBlank="true" errorStyle="stop" operator="between" showDropDown="false" showErrorMessage="false" showInputMessage="false" sqref="C61" type="list">
      <formula1>CATALOGOS!$Z$5:$Z$6</formula1>
      <formula2>0</formula2>
    </dataValidation>
    <dataValidation allowBlank="false" errorStyle="stop" operator="between" showDropDown="false" showErrorMessage="false" showInputMessage="false" sqref="H36" type="list">
      <formula1>$G$23:$G$32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09" topLeftCell="D110" activePane="bottomRight" state="frozen"/>
      <selection pane="topLeft" activeCell="A1" activeCellId="0" sqref="A1"/>
      <selection pane="topRight" activeCell="D1" activeCellId="0" sqref="D1"/>
      <selection pane="bottomLeft" activeCell="A110" activeCellId="0" sqref="A1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2"/>
    <col collapsed="false" customWidth="true" hidden="false" outlineLevel="0" max="3" min="3" style="0" width="16"/>
    <col collapsed="false" customWidth="true" hidden="false" outlineLevel="0" max="13" min="4" style="0" width="11"/>
  </cols>
  <sheetData>
    <row r="1" customFormat="false" ht="15" hidden="false" customHeight="false" outlineLevel="0" collapsed="false">
      <c r="A1" s="41" t="s">
        <v>187</v>
      </c>
    </row>
    <row r="2" customFormat="false" ht="15" hidden="false" customHeight="false" outlineLevel="0" collapsed="false">
      <c r="A2" s="3" t="s">
        <v>188</v>
      </c>
    </row>
    <row r="4" customFormat="false" ht="15" hidden="false" customHeight="false" outlineLevel="0" collapsed="false">
      <c r="A4" s="42" t="s">
        <v>189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</row>
    <row r="5" customFormat="false" ht="15" hidden="false" customHeight="false" outlineLevel="0" collapsed="false">
      <c r="A5" s="43" t="s">
        <v>190</v>
      </c>
      <c r="B5" s="43" t="s">
        <v>191</v>
      </c>
      <c r="C5" s="43" t="s">
        <v>52</v>
      </c>
      <c r="D5" s="44" t="n">
        <f aca="false">IF(LEFT(modo,3)="Sís",1,0)</f>
        <v>0</v>
      </c>
    </row>
    <row r="6" customFormat="false" ht="15" hidden="false" customHeight="false" outlineLevel="0" collapsed="false">
      <c r="A6" s="43" t="s">
        <v>192</v>
      </c>
      <c r="B6" s="43" t="s">
        <v>193</v>
      </c>
      <c r="C6" s="43" t="s">
        <v>52</v>
      </c>
      <c r="D6" s="44" t="n">
        <f aca="false">IF(cfg="8ES",1,0)</f>
        <v>0</v>
      </c>
    </row>
    <row r="7" customFormat="false" ht="15" hidden="false" customHeight="false" outlineLevel="0" collapsed="false">
      <c r="A7" s="43" t="s">
        <v>25</v>
      </c>
      <c r="B7" s="43" t="s">
        <v>194</v>
      </c>
      <c r="C7" s="43" t="s">
        <v>52</v>
      </c>
      <c r="D7" s="44" t="n">
        <f aca="false">IF(cfg="4E",1,0)</f>
        <v>1</v>
      </c>
    </row>
    <row r="8" customFormat="false" ht="15" hidden="false" customHeight="false" outlineLevel="0" collapsed="false">
      <c r="A8" s="43" t="s">
        <v>195</v>
      </c>
      <c r="B8" s="43" t="s">
        <v>196</v>
      </c>
      <c r="C8" s="43" t="s">
        <v>60</v>
      </c>
      <c r="D8" s="44" t="n">
        <f aca="false">2040000</f>
        <v>2040000</v>
      </c>
    </row>
    <row r="9" customFormat="false" ht="15" hidden="false" customHeight="false" outlineLevel="0" collapsed="false">
      <c r="A9" s="43" t="s">
        <v>197</v>
      </c>
      <c r="B9" s="43" t="s">
        <v>198</v>
      </c>
      <c r="C9" s="43" t="s">
        <v>113</v>
      </c>
      <c r="D9" s="45" t="n">
        <f aca="false">vg_d_mm/10</f>
        <v>40</v>
      </c>
    </row>
    <row r="10" customFormat="false" ht="15" hidden="false" customHeight="false" outlineLevel="0" collapsed="false">
      <c r="A10" s="43" t="s">
        <v>199</v>
      </c>
      <c r="B10" s="43" t="s">
        <v>200</v>
      </c>
      <c r="C10" s="43" t="s">
        <v>113</v>
      </c>
      <c r="D10" s="45" t="n">
        <f aca="false">vg_bf_mm/10</f>
        <v>18</v>
      </c>
    </row>
    <row r="11" customFormat="false" ht="15" hidden="false" customHeight="false" outlineLevel="0" collapsed="false">
      <c r="A11" s="43" t="s">
        <v>201</v>
      </c>
      <c r="B11" s="43" t="s">
        <v>202</v>
      </c>
      <c r="C11" s="43" t="s">
        <v>113</v>
      </c>
      <c r="D11" s="45" t="n">
        <f aca="false">vg_tw_mm/10</f>
        <v>0.6</v>
      </c>
    </row>
    <row r="12" customFormat="false" ht="15" hidden="false" customHeight="false" outlineLevel="0" collapsed="false">
      <c r="A12" s="43" t="s">
        <v>203</v>
      </c>
      <c r="B12" s="43" t="s">
        <v>204</v>
      </c>
      <c r="C12" s="43" t="s">
        <v>113</v>
      </c>
      <c r="D12" s="45" t="n">
        <f aca="false">vg_tf_mm/10</f>
        <v>1.2</v>
      </c>
    </row>
    <row r="13" customFormat="false" ht="15" hidden="false" customHeight="false" outlineLevel="0" collapsed="false">
      <c r="A13" s="43" t="s">
        <v>205</v>
      </c>
      <c r="B13" s="43" t="s">
        <v>206</v>
      </c>
      <c r="C13" s="43" t="s">
        <v>207</v>
      </c>
      <c r="D13" s="46" t="n">
        <f aca="false">k_bf*k_tf*(k_d-k_tf)+k_tw*(k_d-2*k_tf)^2/4</f>
        <v>1050.144</v>
      </c>
    </row>
    <row r="14" customFormat="false" ht="15" hidden="false" customHeight="false" outlineLevel="0" collapsed="false">
      <c r="A14" s="43" t="s">
        <v>208</v>
      </c>
      <c r="B14" s="43" t="s">
        <v>209</v>
      </c>
      <c r="C14" s="43" t="s">
        <v>113</v>
      </c>
      <c r="D14" s="45" t="n">
        <f aca="false">co_d_mm/10</f>
        <v>50</v>
      </c>
    </row>
    <row r="15" customFormat="false" ht="15" hidden="false" customHeight="false" outlineLevel="0" collapsed="false">
      <c r="A15" s="43" t="s">
        <v>210</v>
      </c>
      <c r="B15" s="43" t="s">
        <v>211</v>
      </c>
      <c r="C15" s="43" t="s">
        <v>113</v>
      </c>
      <c r="D15" s="45" t="n">
        <f aca="false">co_bf_mm/10</f>
        <v>25</v>
      </c>
    </row>
    <row r="16" customFormat="false" ht="15" hidden="false" customHeight="false" outlineLevel="0" collapsed="false">
      <c r="A16" s="43" t="s">
        <v>212</v>
      </c>
      <c r="B16" s="43" t="s">
        <v>213</v>
      </c>
      <c r="C16" s="43" t="s">
        <v>113</v>
      </c>
      <c r="D16" s="45" t="n">
        <f aca="false">co_tw_mm/10</f>
        <v>1</v>
      </c>
    </row>
    <row r="17" customFormat="false" ht="15" hidden="false" customHeight="false" outlineLevel="0" collapsed="false">
      <c r="A17" s="43" t="s">
        <v>214</v>
      </c>
      <c r="B17" s="43" t="s">
        <v>215</v>
      </c>
      <c r="C17" s="43" t="s">
        <v>113</v>
      </c>
      <c r="D17" s="45" t="n">
        <f aca="false">co_tf_mm/10</f>
        <v>1.5</v>
      </c>
    </row>
    <row r="18" customFormat="false" ht="15" hidden="false" customHeight="false" outlineLevel="0" collapsed="false">
      <c r="A18" s="43" t="s">
        <v>216</v>
      </c>
      <c r="B18" s="43" t="s">
        <v>217</v>
      </c>
      <c r="C18" s="43" t="s">
        <v>218</v>
      </c>
      <c r="D18" s="46" t="n">
        <f aca="false">2*k_cbf*k_ctf+(k_cd-2*k_ctf)*k_ctw</f>
        <v>122</v>
      </c>
    </row>
    <row r="19" customFormat="false" ht="15" hidden="false" customHeight="false" outlineLevel="0" collapsed="false">
      <c r="A19" s="43" t="s">
        <v>219</v>
      </c>
      <c r="B19" s="43" t="s">
        <v>220</v>
      </c>
      <c r="C19" s="43" t="s">
        <v>113</v>
      </c>
      <c r="D19" s="45" t="n">
        <f aca="false">k_ctf+co_kw/10</f>
        <v>2.1</v>
      </c>
    </row>
    <row r="20" customFormat="false" ht="15" hidden="false" customHeight="false" outlineLevel="0" collapsed="false">
      <c r="A20" s="43" t="s">
        <v>221</v>
      </c>
      <c r="B20" s="43" t="s">
        <v>222</v>
      </c>
      <c r="C20" s="43" t="s">
        <v>113</v>
      </c>
      <c r="D20" s="45" t="n">
        <f aca="false">k_cd-2*k_ck</f>
        <v>45.8</v>
      </c>
    </row>
    <row r="21" customFormat="false" ht="15" hidden="false" customHeight="false" outlineLevel="0" collapsed="false">
      <c r="A21" s="43" t="s">
        <v>223</v>
      </c>
      <c r="B21" s="43" t="s">
        <v>224</v>
      </c>
      <c r="C21" s="43" t="s">
        <v>113</v>
      </c>
      <c r="D21" s="45" t="n">
        <f aca="false">pl_bp/10</f>
        <v>20</v>
      </c>
    </row>
    <row r="22" customFormat="false" ht="15" hidden="false" customHeight="false" outlineLevel="0" collapsed="false">
      <c r="A22" s="43" t="s">
        <v>225</v>
      </c>
      <c r="B22" s="43" t="s">
        <v>226</v>
      </c>
      <c r="C22" s="43" t="s">
        <v>113</v>
      </c>
      <c r="D22" s="45" t="n">
        <f aca="false">MIN(k_bp,k_bf+2.54)</f>
        <v>20</v>
      </c>
    </row>
    <row r="23" customFormat="false" ht="15" hidden="false" customHeight="false" outlineLevel="0" collapsed="false">
      <c r="A23" s="43" t="s">
        <v>227</v>
      </c>
      <c r="B23" s="43" t="s">
        <v>228</v>
      </c>
      <c r="C23" s="43" t="s">
        <v>113</v>
      </c>
      <c r="D23" s="45" t="n">
        <f aca="false">pl_tp/10</f>
        <v>2.5</v>
      </c>
    </row>
    <row r="24" customFormat="false" ht="15" hidden="false" customHeight="false" outlineLevel="0" collapsed="false">
      <c r="A24" s="43" t="s">
        <v>229</v>
      </c>
      <c r="B24" s="43" t="s">
        <v>230</v>
      </c>
      <c r="C24" s="43" t="s">
        <v>113</v>
      </c>
      <c r="D24" s="45" t="n">
        <f aca="false">pl_g/10</f>
        <v>11</v>
      </c>
    </row>
    <row r="25" customFormat="false" ht="15" hidden="false" customHeight="false" outlineLevel="0" collapsed="false">
      <c r="A25" s="43" t="s">
        <v>231</v>
      </c>
      <c r="B25" s="43" t="s">
        <v>232</v>
      </c>
      <c r="C25" s="43" t="s">
        <v>113</v>
      </c>
      <c r="D25" s="45" t="n">
        <f aca="false">pl_pfo/10</f>
        <v>4.5</v>
      </c>
    </row>
    <row r="26" customFormat="false" ht="15" hidden="false" customHeight="false" outlineLevel="0" collapsed="false">
      <c r="A26" s="43" t="s">
        <v>233</v>
      </c>
      <c r="B26" s="43" t="s">
        <v>234</v>
      </c>
      <c r="C26" s="43" t="s">
        <v>113</v>
      </c>
      <c r="D26" s="45" t="n">
        <f aca="false">pl_pfi/10</f>
        <v>4.5</v>
      </c>
    </row>
    <row r="27" customFormat="false" ht="15" hidden="false" customHeight="false" outlineLevel="0" collapsed="false">
      <c r="A27" s="43" t="s">
        <v>235</v>
      </c>
      <c r="B27" s="43" t="s">
        <v>236</v>
      </c>
      <c r="C27" s="43" t="s">
        <v>113</v>
      </c>
      <c r="D27" s="45" t="n">
        <f aca="false">IF(k_is8=1,pl_pb/10,0)</f>
        <v>0</v>
      </c>
    </row>
    <row r="28" customFormat="false" ht="15" hidden="false" customHeight="false" outlineLevel="0" collapsed="false">
      <c r="A28" s="43" t="s">
        <v>237</v>
      </c>
      <c r="B28" s="43" t="s">
        <v>238</v>
      </c>
      <c r="C28" s="43" t="s">
        <v>113</v>
      </c>
      <c r="D28" s="45" t="n">
        <f aca="false">pl_de/10</f>
        <v>4</v>
      </c>
    </row>
    <row r="29" customFormat="false" ht="15" hidden="false" customHeight="false" outlineLevel="0" collapsed="false">
      <c r="A29" s="43" t="s">
        <v>239</v>
      </c>
      <c r="B29" s="43" t="s">
        <v>240</v>
      </c>
      <c r="C29" s="43" t="s">
        <v>113</v>
      </c>
      <c r="D29" s="45" t="n">
        <f aca="false">k_d+2*(k_pfo+k_pb+k_de)</f>
        <v>57</v>
      </c>
    </row>
    <row r="30" customFormat="false" ht="15" hidden="false" customHeight="false" outlineLevel="0" collapsed="false">
      <c r="A30" s="43" t="s">
        <v>241</v>
      </c>
      <c r="B30" s="43" t="s">
        <v>242</v>
      </c>
      <c r="C30" s="43" t="s">
        <v>243</v>
      </c>
      <c r="D30" s="45" t="n">
        <f aca="false">INDEX(CATALOGOS!$W$5:$W$12,MATCH(pn_diam,CATALOGOS!$V$5:$V$12,0))</f>
        <v>0.875</v>
      </c>
    </row>
    <row r="31" customFormat="false" ht="15" hidden="false" customHeight="false" outlineLevel="0" collapsed="false">
      <c r="A31" s="43" t="s">
        <v>241</v>
      </c>
      <c r="B31" s="43" t="s">
        <v>242</v>
      </c>
      <c r="C31" s="43" t="s">
        <v>113</v>
      </c>
      <c r="D31" s="45" t="n">
        <f aca="false">k_dbi*2.54</f>
        <v>2.2225</v>
      </c>
    </row>
    <row r="32" customFormat="false" ht="15" hidden="false" customHeight="false" outlineLevel="0" collapsed="false">
      <c r="A32" s="43" t="s">
        <v>244</v>
      </c>
      <c r="B32" s="43" t="s">
        <v>245</v>
      </c>
      <c r="C32" s="43" t="s">
        <v>218</v>
      </c>
      <c r="D32" s="45" t="n">
        <f aca="false">PI()*k_db^2/4</f>
        <v>3.87947913684022</v>
      </c>
    </row>
    <row r="33" customFormat="false" ht="15" hidden="false" customHeight="false" outlineLevel="0" collapsed="false">
      <c r="A33" s="43" t="s">
        <v>246</v>
      </c>
      <c r="B33" s="43" t="s">
        <v>247</v>
      </c>
      <c r="C33" s="43" t="s">
        <v>113</v>
      </c>
      <c r="D33" s="45" t="n">
        <f aca="false">IF(k_dbi&lt;1,k_dbi+1/16,k_dbi+1/8)*2.54</f>
        <v>2.38125</v>
      </c>
    </row>
    <row r="34" customFormat="false" ht="15" hidden="false" customHeight="false" outlineLevel="0" collapsed="false">
      <c r="A34" s="43" t="s">
        <v>248</v>
      </c>
      <c r="B34" s="43" t="s">
        <v>249</v>
      </c>
      <c r="C34" s="43" t="s">
        <v>113</v>
      </c>
      <c r="D34" s="45" t="n">
        <f aca="false">INDEX(CATALOGOS!$X$5:$X$12,MATCH(pn_diam,CATALOGOS!$V$5:$V$12,0))*2.54</f>
        <v>2.8575</v>
      </c>
    </row>
    <row r="35" customFormat="false" ht="15" hidden="false" customHeight="false" outlineLevel="0" collapsed="false">
      <c r="A35" s="43" t="s">
        <v>250</v>
      </c>
      <c r="B35" s="43" t="s">
        <v>251</v>
      </c>
      <c r="C35" s="43" t="s">
        <v>52</v>
      </c>
      <c r="D35" s="44" t="n">
        <f aca="false">IF(k_is8=1,8,4)</f>
        <v>4</v>
      </c>
    </row>
    <row r="36" customFormat="false" ht="15" hidden="false" customHeight="false" outlineLevel="0" collapsed="false">
      <c r="A36" s="42" t="s">
        <v>252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</row>
    <row r="37" customFormat="false" ht="15" hidden="false" customHeight="false" outlineLevel="0" collapsed="false">
      <c r="A37" s="43" t="s">
        <v>253</v>
      </c>
      <c r="B37" s="43" t="s">
        <v>254</v>
      </c>
      <c r="C37" s="43" t="s">
        <v>113</v>
      </c>
      <c r="D37" s="45" t="n">
        <f aca="false">k_d-k_tf/2+k_pfo+k_pb</f>
        <v>43.9</v>
      </c>
    </row>
    <row r="38" customFormat="false" ht="15" hidden="false" customHeight="false" outlineLevel="0" collapsed="false">
      <c r="A38" s="43" t="s">
        <v>255</v>
      </c>
      <c r="B38" s="43" t="s">
        <v>256</v>
      </c>
      <c r="C38" s="43" t="s">
        <v>113</v>
      </c>
      <c r="D38" s="45" t="n">
        <f aca="false">IF(k_is8=1,k_d-k_tf/2+k_pfo,k_d-1.5*k_tf-k_pfi)</f>
        <v>33.7</v>
      </c>
    </row>
    <row r="39" customFormat="false" ht="15" hidden="false" customHeight="false" outlineLevel="0" collapsed="false">
      <c r="A39" s="43" t="s">
        <v>257</v>
      </c>
      <c r="B39" s="43" t="s">
        <v>258</v>
      </c>
      <c r="C39" s="43" t="s">
        <v>113</v>
      </c>
      <c r="D39" s="45" t="n">
        <f aca="false">IF(k_is8=1,k_d-1.5*k_tf-k_pfi,0)</f>
        <v>0</v>
      </c>
    </row>
    <row r="40" customFormat="false" ht="15" hidden="false" customHeight="false" outlineLevel="0" collapsed="false">
      <c r="A40" s="43" t="s">
        <v>259</v>
      </c>
      <c r="B40" s="43" t="s">
        <v>260</v>
      </c>
      <c r="C40" s="43" t="s">
        <v>113</v>
      </c>
      <c r="D40" s="45" t="n">
        <f aca="false">IF(k_is8=1,k_r3-k_pb,0)</f>
        <v>0</v>
      </c>
    </row>
    <row r="41" customFormat="false" ht="15" hidden="false" customHeight="false" outlineLevel="0" collapsed="false">
      <c r="A41" s="43" t="s">
        <v>261</v>
      </c>
      <c r="B41" s="43" t="s">
        <v>262</v>
      </c>
      <c r="C41" s="43" t="s">
        <v>113</v>
      </c>
      <c r="D41" s="45" t="n">
        <f aca="false">k_r1+k_r2+k_r3+k_r4</f>
        <v>77.6</v>
      </c>
    </row>
    <row r="42" customFormat="false" ht="15" hidden="false" customHeight="false" outlineLevel="0" collapsed="false">
      <c r="A42" s="42" t="s">
        <v>263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</row>
    <row r="43" customFormat="false" ht="15" hidden="false" customHeight="false" outlineLevel="0" collapsed="false">
      <c r="A43" s="43" t="s">
        <v>264</v>
      </c>
      <c r="B43" s="43" t="s">
        <v>265</v>
      </c>
      <c r="C43" s="43" t="s">
        <v>266</v>
      </c>
      <c r="D43" s="44" t="n">
        <f aca="false">pn_Fnt*k_Ab</f>
        <v>24549.3439779249</v>
      </c>
    </row>
    <row r="44" customFormat="false" ht="15" hidden="false" customHeight="false" outlineLevel="0" collapsed="false">
      <c r="A44" s="43" t="s">
        <v>267</v>
      </c>
      <c r="B44" s="43" t="s">
        <v>268</v>
      </c>
      <c r="C44" s="43" t="s">
        <v>269</v>
      </c>
      <c r="D44" s="44" t="n">
        <f aca="false">2*k_Pt*k_sh</f>
        <v>3810058.18537394</v>
      </c>
    </row>
    <row r="45" customFormat="false" ht="15" hidden="false" customHeight="false" outlineLevel="0" collapsed="false">
      <c r="A45" s="43" t="s">
        <v>270</v>
      </c>
      <c r="B45" s="43" t="s">
        <v>271</v>
      </c>
      <c r="C45" s="43" t="s">
        <v>52</v>
      </c>
      <c r="D45" s="47" t="n">
        <f aca="false">IF(k_seis=1,0.9,0.75)</f>
        <v>0.75</v>
      </c>
    </row>
    <row r="46" customFormat="false" ht="15" hidden="false" customHeight="false" outlineLevel="0" collapsed="false">
      <c r="A46" s="43" t="s">
        <v>272</v>
      </c>
      <c r="B46" s="43" t="s">
        <v>273</v>
      </c>
      <c r="C46" s="43" t="s">
        <v>52</v>
      </c>
      <c r="D46" s="47" t="n">
        <f aca="false">IF(k_seis=1,1,0.9)</f>
        <v>0.9</v>
      </c>
    </row>
    <row r="47" customFormat="false" ht="15" hidden="false" customHeight="false" outlineLevel="0" collapsed="false">
      <c r="A47" s="43" t="s">
        <v>274</v>
      </c>
      <c r="B47" s="43" t="s">
        <v>275</v>
      </c>
      <c r="C47" s="43" t="s">
        <v>113</v>
      </c>
      <c r="D47" s="45" t="n">
        <f aca="false">0.5*SQRT(k_bpe*k_g)</f>
        <v>7.41619848709566</v>
      </c>
    </row>
    <row r="48" customFormat="false" ht="15" hidden="false" customHeight="false" outlineLevel="0" collapsed="false">
      <c r="A48" s="43" t="s">
        <v>276</v>
      </c>
      <c r="B48" s="43" t="s">
        <v>277</v>
      </c>
      <c r="C48" s="43" t="s">
        <v>113</v>
      </c>
      <c r="D48" s="45" t="n">
        <f aca="false">MIN(k_pfi,k_s)</f>
        <v>4.5</v>
      </c>
    </row>
    <row r="49" customFormat="false" ht="15" hidden="false" customHeight="false" outlineLevel="0" collapsed="false">
      <c r="A49" s="43" t="s">
        <v>278</v>
      </c>
      <c r="B49" s="43" t="s">
        <v>279</v>
      </c>
      <c r="C49" s="43" t="s">
        <v>113</v>
      </c>
      <c r="D49" s="47" t="n">
        <f aca="false">IF(cfg="4E",k_bpe/2*(k_r2*(1/k_pfie+1/k_s)+k_r1*(1/k_pfo)-0.5)+2/k_g*(k_r2*(k_pfie+k_s)),IF(cfg="4ES",IF(k_de&lt;=k_s,k_bpe/2*(k_r2*(1/k_pfie+1/k_s)+k_r1*(1/k_pfo+1/(2*k_de)))+2/k_g*(k_r2*(k_pfie+k_s)+k_r1*(k_de+k_pfo)),k_bpe/2*(k_r2*(1/k_pfie+1/k_s)+k_r1*(1/k_s+1/k_pfo))+2/k_g*(k_r2*(k_pfie+k_s)+k_r1*(k_s+k_pfo))),IF(k_de&lt;=k_s,k_bpe/2*(k_r1/(2*k_de)+k_r2/k_pfo+k_r3/k_pfie+k_r4/k_s)+2/k_g*(k_r1*(k_de+k_pb/4)+k_r2*(k_pfo+3*k_pb/4)+k_r3*(k_pfie+k_pb/4)+k_r4*(k_s+3*k_pb/4)+k_pb^2)+k_g,k_bpe/2*(k_r1/k_s+k_r2/k_pfo+k_r3/k_pfie+k_r4/k_s)+2/k_g*(k_r1*(k_s+k_pb/4)+k_r2*(k_pfo+3*k_pb/4)+k_r3*(k_pfie+k_pb/4)+k_r4*(k_s+3*k_pb/4)+k_pb^2)+k_g)))</f>
        <v>285.899313177217</v>
      </c>
    </row>
    <row r="50" customFormat="false" ht="15" hidden="false" customHeight="false" outlineLevel="0" collapsed="false">
      <c r="A50" s="43" t="s">
        <v>280</v>
      </c>
      <c r="B50" s="43" t="s">
        <v>281</v>
      </c>
      <c r="C50" s="43" t="s">
        <v>269</v>
      </c>
      <c r="D50" s="44" t="n">
        <f aca="false">k_phiy*pl_Fy*k_Yp*k_tp^2</f>
        <v>5652765.48272578</v>
      </c>
    </row>
    <row r="51" customFormat="false" ht="15" hidden="false" customHeight="false" outlineLevel="0" collapsed="false">
      <c r="A51" s="43" t="s">
        <v>282</v>
      </c>
      <c r="B51" s="43" t="s">
        <v>283</v>
      </c>
      <c r="C51" s="43" t="s">
        <v>218</v>
      </c>
      <c r="D51" s="47" t="n">
        <f aca="false">(k_bp-2*(k_dh+0.15875))*k_tp</f>
        <v>37.3</v>
      </c>
    </row>
    <row r="52" customFormat="false" ht="15" hidden="false" customHeight="false" outlineLevel="0" collapsed="false">
      <c r="A52" s="43" t="s">
        <v>284</v>
      </c>
      <c r="B52" s="43" t="s">
        <v>285</v>
      </c>
      <c r="C52" s="43" t="s">
        <v>266</v>
      </c>
      <c r="D52" s="44" t="n">
        <f aca="false">1*0.6*pl_Fy*k_bp*k_tp</f>
        <v>105450</v>
      </c>
    </row>
    <row r="53" customFormat="false" ht="15" hidden="false" customHeight="false" outlineLevel="0" collapsed="false">
      <c r="A53" s="43" t="s">
        <v>284</v>
      </c>
      <c r="B53" s="43" t="s">
        <v>286</v>
      </c>
      <c r="C53" s="43" t="s">
        <v>266</v>
      </c>
      <c r="D53" s="44" t="n">
        <f aca="false">k_phin*0.6*pl_Fu*k_An</f>
        <v>76707.45</v>
      </c>
    </row>
    <row r="54" customFormat="false" ht="15" hidden="false" customHeight="false" outlineLevel="0" collapsed="false">
      <c r="A54" s="43" t="s">
        <v>284</v>
      </c>
      <c r="B54" s="43" t="s">
        <v>287</v>
      </c>
      <c r="C54" s="43" t="s">
        <v>266</v>
      </c>
      <c r="D54" s="44" t="n">
        <f aca="false">k_phin*k_nb*pn_Fnv*k_Ab</f>
        <v>44191.1468477469</v>
      </c>
    </row>
    <row r="55" customFormat="false" ht="15" hidden="false" customHeight="false" outlineLevel="0" collapsed="false">
      <c r="A55" s="43" t="s">
        <v>288</v>
      </c>
      <c r="B55" s="43" t="s">
        <v>289</v>
      </c>
      <c r="C55" s="43" t="s">
        <v>113</v>
      </c>
      <c r="D55" s="45" t="n">
        <f aca="false">MIN(k_de-k_dh/2,IF(k_is8=1,k_pb-k_dh,1000))</f>
        <v>2.809375</v>
      </c>
    </row>
    <row r="56" customFormat="false" ht="15" hidden="false" customHeight="false" outlineLevel="0" collapsed="false">
      <c r="A56" s="43" t="s">
        <v>290</v>
      </c>
      <c r="B56" s="43" t="s">
        <v>291</v>
      </c>
      <c r="C56" s="43" t="s">
        <v>113</v>
      </c>
      <c r="D56" s="45" t="n">
        <f aca="false">MIN(k_pfo+k_tf+k_pfi-k_dh,IF(k_is8=1,k_pb-k_dh,1000))</f>
        <v>7.81875</v>
      </c>
    </row>
    <row r="57" customFormat="false" ht="15" hidden="false" customHeight="false" outlineLevel="0" collapsed="false">
      <c r="A57" s="43" t="s">
        <v>284</v>
      </c>
      <c r="B57" s="43" t="s">
        <v>292</v>
      </c>
      <c r="C57" s="43" t="s">
        <v>266</v>
      </c>
      <c r="D57" s="44" t="n">
        <f aca="false">k_phin*k_nb/2*(MIN(1.2*k_Lci,2.4*k_db)+MIN(1.2*k_Lco,2.4*k_db))*k_tp*pl_Fu</f>
        <v>149186.221875</v>
      </c>
    </row>
    <row r="58" customFormat="false" ht="15" hidden="false" customHeight="false" outlineLevel="0" collapsed="false">
      <c r="A58" s="43" t="s">
        <v>284</v>
      </c>
      <c r="B58" s="43" t="s">
        <v>293</v>
      </c>
      <c r="C58" s="43" t="s">
        <v>266</v>
      </c>
      <c r="D58" s="44" t="n">
        <f aca="false">k_phin*k_nb/2*(MIN(1.2*k_Lci,2.4*k_db)+MIN(1.2*IF(k_is8=1,k_pb-k_dh,1000),2.4*k_db))*k_ctf*co_Fu</f>
        <v>109693.71</v>
      </c>
    </row>
    <row r="59" customFormat="false" ht="15" hidden="false" customHeight="false" outlineLevel="0" collapsed="false">
      <c r="A59" s="43" t="s">
        <v>294</v>
      </c>
      <c r="B59" s="43" t="s">
        <v>295</v>
      </c>
      <c r="C59" s="43" t="s">
        <v>113</v>
      </c>
      <c r="D59" s="45" t="n">
        <f aca="false">k_pfo+k_pb+k_de</f>
        <v>8.5</v>
      </c>
    </row>
    <row r="60" customFormat="false" ht="15" hidden="false" customHeight="false" outlineLevel="0" collapsed="false">
      <c r="A60" s="43" t="s">
        <v>296</v>
      </c>
      <c r="B60" s="43" t="s">
        <v>297</v>
      </c>
      <c r="C60" s="43" t="s">
        <v>113</v>
      </c>
      <c r="D60" s="45" t="n">
        <f aca="false">k_hst/TAN(RADIANS(30))</f>
        <v>14.7224318643355</v>
      </c>
    </row>
    <row r="61" customFormat="false" ht="15" hidden="false" customHeight="false" outlineLevel="0" collapsed="false">
      <c r="A61" s="43" t="s">
        <v>298</v>
      </c>
      <c r="B61" s="43" t="s">
        <v>299</v>
      </c>
      <c r="C61" s="43" t="s">
        <v>113</v>
      </c>
      <c r="D61" s="45" t="n">
        <f aca="false">k_tw*vg_Fy/st_Fy</f>
        <v>0.6</v>
      </c>
    </row>
    <row r="62" customFormat="false" ht="15" hidden="false" customHeight="false" outlineLevel="0" collapsed="false">
      <c r="A62" s="43" t="s">
        <v>300</v>
      </c>
      <c r="B62" s="43" t="s">
        <v>301</v>
      </c>
      <c r="C62" s="43" t="s">
        <v>52</v>
      </c>
      <c r="D62" s="47" t="n">
        <f aca="false">k_hst/(st_t/10)</f>
        <v>8.5</v>
      </c>
    </row>
    <row r="63" customFormat="false" ht="15" hidden="false" customHeight="false" outlineLevel="0" collapsed="false">
      <c r="A63" s="43" t="s">
        <v>302</v>
      </c>
      <c r="B63" s="43" t="s">
        <v>303</v>
      </c>
      <c r="C63" s="43" t="s">
        <v>52</v>
      </c>
      <c r="D63" s="47" t="n">
        <f aca="false">0.56*SQRT(k_E/st_Fy)</f>
        <v>13.4908851796425</v>
      </c>
    </row>
    <row r="64" customFormat="false" ht="15" hidden="false" customHeight="false" outlineLevel="0" collapsed="false">
      <c r="A64" s="42" t="s">
        <v>304</v>
      </c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</row>
    <row r="65" customFormat="false" ht="15" hidden="false" customHeight="false" outlineLevel="0" collapsed="false">
      <c r="A65" s="43" t="s">
        <v>305</v>
      </c>
      <c r="B65" s="43" t="s">
        <v>179</v>
      </c>
      <c r="C65" s="43" t="s">
        <v>60</v>
      </c>
      <c r="D65" s="44" t="n">
        <f aca="false">INDEX(CATALOGOS!$AA$5:$AA$6,MATCH(sd_elec,CATALOGOS!$Z$5:$Z$6,0))</f>
        <v>4920</v>
      </c>
    </row>
    <row r="66" customFormat="false" ht="15" hidden="false" customHeight="false" outlineLevel="0" collapsed="false">
      <c r="A66" s="43" t="s">
        <v>284</v>
      </c>
      <c r="B66" s="43" t="s">
        <v>306</v>
      </c>
      <c r="C66" s="43" t="s">
        <v>266</v>
      </c>
      <c r="D66" s="44" t="n">
        <f aca="false">0.75*0.6*k_FEXX*0.707*sd_wf/10*(2*k_bf-k_tw)*1.5</f>
        <v>83117.3238</v>
      </c>
    </row>
    <row r="67" customFormat="false" ht="15" hidden="false" customHeight="false" outlineLevel="0" collapsed="false">
      <c r="A67" s="43" t="s">
        <v>307</v>
      </c>
      <c r="B67" s="43" t="s">
        <v>308</v>
      </c>
      <c r="C67" s="43" t="s">
        <v>82</v>
      </c>
      <c r="D67" s="44" t="n">
        <f aca="false">0.9*vg_Fy*k_tw</f>
        <v>1898.1</v>
      </c>
    </row>
    <row r="68" customFormat="false" ht="15" hidden="false" customHeight="false" outlineLevel="0" collapsed="false">
      <c r="A68" s="43" t="s">
        <v>284</v>
      </c>
      <c r="B68" s="43" t="s">
        <v>309</v>
      </c>
      <c r="C68" s="43" t="s">
        <v>82</v>
      </c>
      <c r="D68" s="44" t="n">
        <f aca="false">0.75*0.6*k_FEXX*0.707*sd_ww/10*2*1.5</f>
        <v>2817.5364</v>
      </c>
    </row>
    <row r="69" customFormat="false" ht="15" hidden="false" customHeight="false" outlineLevel="0" collapsed="false">
      <c r="A69" s="43" t="s">
        <v>284</v>
      </c>
      <c r="B69" s="43" t="s">
        <v>310</v>
      </c>
      <c r="C69" s="43" t="s">
        <v>266</v>
      </c>
      <c r="D69" s="44" t="n">
        <f aca="false">0.75*0.6*k_FEXX*0.707*sd_ww/10*2*(k_d/2-k_tf)</f>
        <v>35313.12288</v>
      </c>
    </row>
    <row r="70" customFormat="false" ht="15" hidden="false" customHeight="false" outlineLevel="0" collapsed="false">
      <c r="A70" s="42" t="s">
        <v>311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</row>
    <row r="71" customFormat="false" ht="15" hidden="false" customHeight="false" outlineLevel="0" collapsed="false">
      <c r="A71" s="43" t="s">
        <v>274</v>
      </c>
      <c r="B71" s="43" t="s">
        <v>312</v>
      </c>
      <c r="C71" s="43" t="s">
        <v>113</v>
      </c>
      <c r="D71" s="45" t="n">
        <f aca="false">0.5*SQRT(k_cbf*k_g)</f>
        <v>8.2915619758885</v>
      </c>
    </row>
    <row r="72" customFormat="false" ht="15" hidden="false" customHeight="false" outlineLevel="0" collapsed="false">
      <c r="A72" s="43" t="s">
        <v>313</v>
      </c>
      <c r="B72" s="43" t="s">
        <v>314</v>
      </c>
      <c r="C72" s="43" t="s">
        <v>113</v>
      </c>
      <c r="D72" s="45" t="n">
        <f aca="false">k_pfo+k_tf+k_pfi</f>
        <v>10.2</v>
      </c>
    </row>
    <row r="73" customFormat="false" ht="15" hidden="false" customHeight="false" outlineLevel="0" collapsed="false">
      <c r="A73" s="43" t="s">
        <v>315</v>
      </c>
      <c r="B73" s="43" t="s">
        <v>316</v>
      </c>
      <c r="C73" s="43" t="s">
        <v>113</v>
      </c>
      <c r="D73" s="45" t="n">
        <f aca="false">MIN(k_sc,k_pfo+(k_tf-cp_t/10)/2)</f>
        <v>4.5</v>
      </c>
    </row>
    <row r="74" customFormat="false" ht="15" hidden="false" customHeight="false" outlineLevel="0" collapsed="false">
      <c r="A74" s="43" t="s">
        <v>317</v>
      </c>
      <c r="B74" s="43" t="s">
        <v>318</v>
      </c>
      <c r="C74" s="43" t="s">
        <v>113</v>
      </c>
      <c r="D74" s="45" t="n">
        <f aca="false">MIN(k_sc,k_pfi+(k_tf-cp_t/10)/2)</f>
        <v>4.5</v>
      </c>
    </row>
    <row r="75" customFormat="false" ht="15" hidden="false" customHeight="false" outlineLevel="0" collapsed="false">
      <c r="A75" s="43" t="s">
        <v>319</v>
      </c>
      <c r="B75" s="43" t="s">
        <v>320</v>
      </c>
      <c r="C75" s="43" t="s">
        <v>113</v>
      </c>
      <c r="D75" s="47" t="n">
        <f aca="false">IF(k_is8=1,k_cbf/2*(k_r1/k_sc+k_r4/k_sc)+2/k_g*(k_r1*(k_pb+k_c/2+k_sc)+k_r2*(k_pb/2+k_c/4)+k_r3*(k_pb/2+k_c/2)+k_r4*k_sc)+k_g/2,k_cbf/2*(k_r2/k_sc+k_r1/k_sc)+2/k_g*(k_r2*(k_sc+3*k_c/4)+k_r1*(k_sc+k_c/4)+k_c^2/2)+k_g/2)</f>
        <v>316.158257937799</v>
      </c>
    </row>
    <row r="76" customFormat="false" ht="15" hidden="false" customHeight="false" outlineLevel="0" collapsed="false">
      <c r="A76" s="43" t="s">
        <v>321</v>
      </c>
      <c r="B76" s="43" t="s">
        <v>322</v>
      </c>
      <c r="C76" s="43" t="s">
        <v>113</v>
      </c>
      <c r="D76" s="47" t="n">
        <f aca="false">IF(k_is8=1,k_cbf/2*(k_r1/k_sc+k_r2/k_pso+k_r3/k_psi+k_r4/k_sc)+2/k_g*(k_r1*(k_sc+k_pb/4)+k_r2*(k_pso+3*k_pb/4)+k_r3*(k_psi+k_pb/4)+k_r4*(k_sc+3*k_pb/4)+k_pb^2)+k_g,k_cbf/2*(k_r2*(1/k_sc+1/k_psi)+k_r1*(1/k_sc+1/k_pso))+2/k_g*(k_r2*(k_sc+k_psi)+k_r1*(k_sc+k_pso)))</f>
        <v>513.019268038809</v>
      </c>
    </row>
    <row r="77" customFormat="false" ht="15" hidden="false" customHeight="false" outlineLevel="0" collapsed="false">
      <c r="A77" s="43" t="s">
        <v>323</v>
      </c>
      <c r="B77" s="43" t="s">
        <v>324</v>
      </c>
      <c r="C77" s="43" t="s">
        <v>113</v>
      </c>
      <c r="D77" s="47" t="n">
        <f aca="false">IF(cp_usar="Sí",k_Ycs,k_Ycu)</f>
        <v>513.019268038809</v>
      </c>
    </row>
    <row r="78" customFormat="false" ht="15" hidden="false" customHeight="false" outlineLevel="0" collapsed="false">
      <c r="A78" s="43" t="s">
        <v>325</v>
      </c>
      <c r="B78" s="43" t="s">
        <v>326</v>
      </c>
      <c r="C78" s="43" t="s">
        <v>269</v>
      </c>
      <c r="D78" s="44" t="n">
        <f aca="false">k_phiy*co_Fy*k_Yc*k_ctf^2</f>
        <v>3651607.02249174</v>
      </c>
    </row>
    <row r="79" customFormat="false" ht="15" hidden="false" customHeight="false" outlineLevel="0" collapsed="false">
      <c r="A79" s="43" t="s">
        <v>284</v>
      </c>
      <c r="B79" s="43" t="s">
        <v>327</v>
      </c>
      <c r="C79" s="43" t="s">
        <v>266</v>
      </c>
      <c r="D79" s="44" t="n">
        <f aca="false">k_phiy*co_Fy*k_Ycu*k_ctf^2/(k_d-k_tf)</f>
        <v>57999.3546448199</v>
      </c>
    </row>
    <row r="80" customFormat="false" ht="15" hidden="false" customHeight="false" outlineLevel="0" collapsed="false">
      <c r="A80" s="43" t="s">
        <v>328</v>
      </c>
      <c r="B80" s="43" t="s">
        <v>329</v>
      </c>
      <c r="C80" s="43" t="s">
        <v>52</v>
      </c>
      <c r="D80" s="46" t="n">
        <f aca="false">IF(co_dtop/10&lt;k_cd,0.5,1)</f>
        <v>1</v>
      </c>
    </row>
    <row r="81" customFormat="false" ht="15" hidden="false" customHeight="false" outlineLevel="0" collapsed="false">
      <c r="A81" s="43" t="s">
        <v>284</v>
      </c>
      <c r="B81" s="43" t="s">
        <v>330</v>
      </c>
      <c r="C81" s="43" t="s">
        <v>266</v>
      </c>
      <c r="D81" s="44" t="n">
        <f aca="false">1*k_Ct*(6*k_ck+k_tf+2*k_tp)*co_Fy*k_ctw</f>
        <v>66082</v>
      </c>
    </row>
    <row r="82" customFormat="false" ht="15" hidden="false" customHeight="false" outlineLevel="0" collapsed="false">
      <c r="A82" s="43" t="s">
        <v>331</v>
      </c>
      <c r="B82" s="43" t="s">
        <v>332</v>
      </c>
      <c r="C82" s="43" t="s">
        <v>113</v>
      </c>
      <c r="D82" s="45" t="n">
        <f aca="false">k_tf+2*sd_wf/10+2*k_tp</f>
        <v>8.2</v>
      </c>
    </row>
    <row r="83" customFormat="false" ht="15" hidden="false" customHeight="false" outlineLevel="0" collapsed="false">
      <c r="A83" s="43" t="s">
        <v>284</v>
      </c>
      <c r="B83" s="43" t="s">
        <v>333</v>
      </c>
      <c r="C83" s="43" t="s">
        <v>266</v>
      </c>
      <c r="D83" s="44" t="n">
        <f aca="false">0.75*IF(co_dtop/10&gt;=k_cd/2,0.8*(1+3*(k_Nc/k_cd)*(k_ctw/k_ctf)^1.5),0.4*IF(k_Nc/k_cd&lt;=0.2,1+3*(k_Nc/k_cd)*(k_ctw/k_ctf)^1.5,1+(4*k_Nc/k_cd-0.2)*(k_ctw/k_ctf)^1.5))*k_ctw^2*SQRT(k_E*co_Fy*k_ctf/k_ctw)</f>
        <v>78891.2981227264</v>
      </c>
    </row>
    <row r="84" customFormat="false" ht="15" hidden="false" customHeight="false" outlineLevel="0" collapsed="false">
      <c r="A84" s="43" t="s">
        <v>284</v>
      </c>
      <c r="B84" s="43" t="s">
        <v>334</v>
      </c>
      <c r="C84" s="43" t="s">
        <v>266</v>
      </c>
      <c r="D84" s="44" t="n">
        <f aca="false">0.9*24*k_ctw^3*SQRT(k_E*co_Fy)/k_ch*IF(co_dtop/10&lt;k_cd/2,0.5,1)</f>
        <v>39936.1340603236</v>
      </c>
    </row>
    <row r="85" customFormat="false" ht="15" hidden="false" customHeight="false" outlineLevel="0" collapsed="false">
      <c r="A85" s="43" t="s">
        <v>284</v>
      </c>
      <c r="B85" s="43" t="s">
        <v>335</v>
      </c>
      <c r="C85" s="43" t="s">
        <v>266</v>
      </c>
      <c r="D85" s="44" t="n">
        <f aca="false">0.9*co_Fy*2*cp_b/10*cp_t/10</f>
        <v>83516.4</v>
      </c>
    </row>
    <row r="86" customFormat="false" ht="15" hidden="false" customHeight="false" outlineLevel="0" collapsed="false">
      <c r="A86" s="43" t="s">
        <v>336</v>
      </c>
      <c r="B86" s="43" t="s">
        <v>337</v>
      </c>
      <c r="C86" s="43" t="s">
        <v>266</v>
      </c>
      <c r="D86" s="44" t="n">
        <f aca="false">co_Fy*k_cA</f>
        <v>428830</v>
      </c>
    </row>
    <row r="87" customFormat="false" ht="15" hidden="false" customHeight="false" outlineLevel="0" collapsed="false">
      <c r="A87" s="43" t="s">
        <v>338</v>
      </c>
      <c r="B87" s="43" t="s">
        <v>339</v>
      </c>
      <c r="C87" s="43" t="s">
        <v>266</v>
      </c>
      <c r="D87" s="44" t="n">
        <f aca="false">0.9*0.6*co_Fy*k_cd*k_ctw*IF(Pu_col*1000&lt;=0.4*k_Py,1,1.4-Pu_col*1000/k_Py)</f>
        <v>94905</v>
      </c>
    </row>
    <row r="88" customFormat="false" ht="15" hidden="false" customHeight="false" outlineLevel="0" collapsed="false">
      <c r="A88" s="42" t="s">
        <v>340</v>
      </c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</row>
    <row r="89" customFormat="false" ht="15" hidden="false" customHeight="false" outlineLevel="0" collapsed="false">
      <c r="A89" s="43" t="s">
        <v>341</v>
      </c>
      <c r="B89" s="43" t="s">
        <v>342</v>
      </c>
      <c r="C89" s="43" t="s">
        <v>52</v>
      </c>
      <c r="D89" s="45" t="n">
        <f aca="false">MIN(1.2,(vg_Fy+vg_Fu)/(2*vg_Fy))</f>
        <v>1.15007112375533</v>
      </c>
    </row>
    <row r="90" customFormat="false" ht="15" hidden="false" customHeight="false" outlineLevel="0" collapsed="false">
      <c r="A90" s="43" t="s">
        <v>343</v>
      </c>
      <c r="B90" s="43" t="s">
        <v>344</v>
      </c>
      <c r="C90" s="43" t="s">
        <v>269</v>
      </c>
      <c r="D90" s="44" t="n">
        <f aca="false">k_Cpr*vg_Ry*vg_Fy*k_Zx</f>
        <v>4669727.832</v>
      </c>
    </row>
    <row r="91" customFormat="false" ht="15" hidden="false" customHeight="false" outlineLevel="0" collapsed="false">
      <c r="A91" s="43" t="s">
        <v>345</v>
      </c>
      <c r="B91" s="43" t="s">
        <v>346</v>
      </c>
      <c r="C91" s="43" t="s">
        <v>113</v>
      </c>
      <c r="D91" s="46" t="n">
        <f aca="false">IF(k_is4E=1,MIN(k_d/2,3*k_bf),k_Lst+k_tp)</f>
        <v>20</v>
      </c>
    </row>
    <row r="92" customFormat="false" ht="15" hidden="false" customHeight="false" outlineLevel="0" collapsed="false">
      <c r="A92" s="43" t="s">
        <v>347</v>
      </c>
      <c r="B92" s="43" t="s">
        <v>348</v>
      </c>
      <c r="C92" s="43" t="s">
        <v>113</v>
      </c>
      <c r="D92" s="46" t="n">
        <f aca="false">sis_L*100-k_cd-2*k_Shr</f>
        <v>710</v>
      </c>
    </row>
    <row r="93" customFormat="false" ht="15" hidden="false" customHeight="false" outlineLevel="0" collapsed="false">
      <c r="A93" s="43" t="s">
        <v>349</v>
      </c>
      <c r="B93" s="43" t="s">
        <v>350</v>
      </c>
      <c r="C93" s="43" t="s">
        <v>266</v>
      </c>
      <c r="D93" s="44" t="n">
        <f aca="false">2*k_Mpe/k_Lh+sis_Vg*1000</f>
        <v>16154.1629070423</v>
      </c>
    </row>
    <row r="94" customFormat="false" ht="15" hidden="false" customHeight="false" outlineLevel="0" collapsed="false">
      <c r="A94" s="43" t="s">
        <v>351</v>
      </c>
      <c r="B94" s="43" t="s">
        <v>352</v>
      </c>
      <c r="C94" s="43" t="s">
        <v>269</v>
      </c>
      <c r="D94" s="44" t="n">
        <f aca="false">k_Mpe+k_Vus*k_Shr</f>
        <v>4992811.09014085</v>
      </c>
    </row>
    <row r="95" customFormat="false" ht="15" hidden="false" customHeight="false" outlineLevel="0" collapsed="false">
      <c r="A95" s="42" t="s">
        <v>353</v>
      </c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</row>
    <row r="96" customFormat="false" ht="15" hidden="false" customHeight="false" outlineLevel="0" collapsed="false">
      <c r="A96" s="43" t="s">
        <v>354</v>
      </c>
      <c r="B96" s="43" t="s">
        <v>355</v>
      </c>
      <c r="C96" s="43" t="s">
        <v>52</v>
      </c>
      <c r="D96" s="44" t="n">
        <f aca="false">MATCH(cfg,CATALOGOS!$AE$5:$AE$7,0)*2</f>
        <v>2</v>
      </c>
    </row>
    <row r="97" customFormat="false" ht="15" hidden="false" customHeight="false" outlineLevel="0" collapsed="false">
      <c r="A97" s="43" t="s">
        <v>203</v>
      </c>
      <c r="B97" s="43" t="s">
        <v>356</v>
      </c>
      <c r="C97" s="43" t="s">
        <v>52</v>
      </c>
      <c r="D97" s="44" t="n">
        <f aca="false">IF(ISNUMBER(INDEX(CATALOGOS!$AL$5:$AQ$5,k_rc-1)),IF(OR((k_tf)/2.54&lt;INDEX(CATALOGOS!$AL$5:$AQ$5,k_rc-1)-0.001,(k_tf)/2.54&gt;INDEX(CATALOGOS!$AL$5:$AQ$5,k_rc)+0.001),1,0),0)</f>
        <v>0</v>
      </c>
    </row>
    <row r="98" customFormat="false" ht="15" hidden="false" customHeight="false" outlineLevel="0" collapsed="false">
      <c r="A98" s="43" t="s">
        <v>199</v>
      </c>
      <c r="B98" s="43" t="s">
        <v>357</v>
      </c>
      <c r="C98" s="43" t="s">
        <v>52</v>
      </c>
      <c r="D98" s="44" t="n">
        <f aca="false">IF(ISNUMBER(INDEX(CATALOGOS!$AL$6:$AQ$6,k_rc-1)),IF(OR((k_bf)/2.54&lt;INDEX(CATALOGOS!$AL$6:$AQ$6,k_rc-1)-0.001,(k_bf)/2.54&gt;INDEX(CATALOGOS!$AL$6:$AQ$6,k_rc)+0.001),1,0),0)</f>
        <v>0</v>
      </c>
    </row>
    <row r="99" customFormat="false" ht="15" hidden="false" customHeight="false" outlineLevel="0" collapsed="false">
      <c r="A99" s="43" t="s">
        <v>197</v>
      </c>
      <c r="B99" s="43" t="s">
        <v>358</v>
      </c>
      <c r="C99" s="43" t="s">
        <v>52</v>
      </c>
      <c r="D99" s="44" t="n">
        <f aca="false">IF(ISNUMBER(INDEX(CATALOGOS!$AL$7:$AQ$7,k_rc-1)),IF(OR((k_d)/2.54&lt;INDEX(CATALOGOS!$AL$7:$AQ$7,k_rc-1)-0.001,(k_d)/2.54&gt;INDEX(CATALOGOS!$AL$7:$AQ$7,k_rc)+0.001),1,0),0)</f>
        <v>0</v>
      </c>
    </row>
    <row r="100" customFormat="false" ht="15" hidden="false" customHeight="false" outlineLevel="0" collapsed="false">
      <c r="A100" s="43" t="s">
        <v>227</v>
      </c>
      <c r="B100" s="43" t="s">
        <v>359</v>
      </c>
      <c r="C100" s="43" t="s">
        <v>52</v>
      </c>
      <c r="D100" s="44" t="n">
        <f aca="false">IF(ISNUMBER(INDEX(CATALOGOS!$AL$8:$AQ$8,k_rc-1)),IF(OR((k_tp)/2.54&lt;INDEX(CATALOGOS!$AL$8:$AQ$8,k_rc-1)-0.001,(k_tp)/2.54&gt;INDEX(CATALOGOS!$AL$8:$AQ$8,k_rc)+0.001),1,0),0)</f>
        <v>0</v>
      </c>
    </row>
    <row r="101" customFormat="false" ht="15" hidden="false" customHeight="false" outlineLevel="0" collapsed="false">
      <c r="A101" s="43" t="s">
        <v>223</v>
      </c>
      <c r="B101" s="43" t="s">
        <v>360</v>
      </c>
      <c r="C101" s="43" t="s">
        <v>52</v>
      </c>
      <c r="D101" s="44" t="n">
        <f aca="false">IF(ISNUMBER(INDEX(CATALOGOS!$AL$9:$AQ$9,k_rc-1)),IF(OR((k_bp)/2.54&lt;INDEX(CATALOGOS!$AL$9:$AQ$9,k_rc-1)-0.001,(k_bp)/2.54&gt;INDEX(CATALOGOS!$AL$9:$AQ$9,k_rc)+0.001),1,0),0)</f>
        <v>0</v>
      </c>
    </row>
    <row r="102" customFormat="false" ht="15" hidden="false" customHeight="false" outlineLevel="0" collapsed="false">
      <c r="A102" s="43" t="s">
        <v>229</v>
      </c>
      <c r="B102" s="43" t="s">
        <v>361</v>
      </c>
      <c r="C102" s="43" t="s">
        <v>52</v>
      </c>
      <c r="D102" s="44" t="n">
        <f aca="false">IF(ISNUMBER(INDEX(CATALOGOS!$AL$10:$AQ$10,k_rc-1)),IF(OR((k_g)/2.54&lt;INDEX(CATALOGOS!$AL$10:$AQ$10,k_rc-1)-0.001,(k_g)/2.54&gt;INDEX(CATALOGOS!$AL$10:$AQ$10,k_rc)+0.001),1,0),0)</f>
        <v>0</v>
      </c>
    </row>
    <row r="103" customFormat="false" ht="15" hidden="false" customHeight="false" outlineLevel="0" collapsed="false">
      <c r="A103" s="43" t="s">
        <v>233</v>
      </c>
      <c r="B103" s="43" t="s">
        <v>362</v>
      </c>
      <c r="C103" s="43" t="s">
        <v>52</v>
      </c>
      <c r="D103" s="44" t="n">
        <f aca="false">IF(ISNUMBER(INDEX(CATALOGOS!$AL$11:$AQ$11,k_rc-1)),IF(OR((k_pfi)/2.54&lt;INDEX(CATALOGOS!$AL$11:$AQ$11,k_rc-1)-0.001,(k_pfi)/2.54&gt;INDEX(CATALOGOS!$AL$11:$AQ$11,k_rc)+0.001),1,0),0)</f>
        <v>0</v>
      </c>
    </row>
    <row r="104" customFormat="false" ht="15" hidden="false" customHeight="false" outlineLevel="0" collapsed="false">
      <c r="A104" s="43" t="s">
        <v>231</v>
      </c>
      <c r="B104" s="43" t="s">
        <v>363</v>
      </c>
      <c r="C104" s="43" t="s">
        <v>52</v>
      </c>
      <c r="D104" s="44" t="n">
        <f aca="false">IF(ISNUMBER(INDEX(CATALOGOS!$AL$12:$AQ$12,k_rc-1)),IF(OR((k_pfo)/2.54&lt;INDEX(CATALOGOS!$AL$12:$AQ$12,k_rc-1)-0.001,(k_pfo)/2.54&gt;INDEX(CATALOGOS!$AL$12:$AQ$12,k_rc)+0.001),1,0),0)</f>
        <v>0</v>
      </c>
    </row>
    <row r="105" customFormat="false" ht="15" hidden="false" customHeight="false" outlineLevel="0" collapsed="false">
      <c r="A105" s="43" t="s">
        <v>235</v>
      </c>
      <c r="B105" s="43" t="s">
        <v>364</v>
      </c>
      <c r="C105" s="43" t="s">
        <v>52</v>
      </c>
      <c r="D105" s="44" t="n">
        <f aca="false">IF(ISNUMBER(INDEX(CATALOGOS!$AL$13:$AQ$13,k_rc-1)),IF(OR((IF(k_is8=1,k_pb,0))/2.54&lt;INDEX(CATALOGOS!$AL$13:$AQ$13,k_rc-1)-0.001,(IF(k_is8=1,k_pb,0))/2.54&gt;INDEX(CATALOGOS!$AL$13:$AQ$13,k_rc)+0.001),1,0),0)</f>
        <v>0</v>
      </c>
    </row>
    <row r="106" customFormat="false" ht="15" hidden="false" customHeight="false" outlineLevel="0" collapsed="false">
      <c r="A106" s="43" t="s">
        <v>365</v>
      </c>
      <c r="B106" s="43" t="s">
        <v>366</v>
      </c>
      <c r="C106" s="43" t="s">
        <v>52</v>
      </c>
      <c r="D106" s="44" t="n">
        <f aca="false">k_rg0+k_rg1+k_rg2+k_rg3+k_rg4+k_rg5+k_rg6+k_rg7+k_rg8</f>
        <v>0</v>
      </c>
    </row>
    <row r="108" customFormat="false" ht="15" hidden="false" customHeight="false" outlineLevel="0" collapsed="false">
      <c r="A108" s="42" t="s">
        <v>367</v>
      </c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</row>
    <row r="109" customFormat="false" ht="15" hidden="false" customHeight="false" outlineLevel="0" collapsed="false">
      <c r="A109" s="48" t="s">
        <v>368</v>
      </c>
      <c r="B109" s="48" t="s">
        <v>369</v>
      </c>
      <c r="C109" s="48" t="s">
        <v>20</v>
      </c>
      <c r="D109" s="48" t="n">
        <v>1</v>
      </c>
      <c r="E109" s="48" t="n">
        <v>2</v>
      </c>
      <c r="F109" s="48" t="n">
        <v>3</v>
      </c>
      <c r="G109" s="48" t="n">
        <v>4</v>
      </c>
      <c r="H109" s="48" t="n">
        <v>5</v>
      </c>
      <c r="I109" s="48" t="n">
        <v>6</v>
      </c>
      <c r="J109" s="48" t="n">
        <v>7</v>
      </c>
      <c r="K109" s="48" t="n">
        <v>8</v>
      </c>
      <c r="L109" s="48" t="n">
        <v>9</v>
      </c>
      <c r="M109" s="48" t="n">
        <v>10</v>
      </c>
    </row>
    <row r="110" customFormat="false" ht="15" hidden="false" customHeight="false" outlineLevel="0" collapsed="false">
      <c r="A110" s="43" t="s">
        <v>23</v>
      </c>
      <c r="B110" s="43" t="s">
        <v>370</v>
      </c>
      <c r="C110" s="43"/>
      <c r="D110" s="49" t="str">
        <f aca="false">IF(k_seis=1,IF(1=1,"Mf sísmico",""),IF(INDEX(cb_nom,1)="","",INDEX(cb_nom,1)))</f>
        <v>1.2D+1.6L</v>
      </c>
      <c r="E110" s="49" t="str">
        <f aca="false">IF(k_seis=1,IF(2=1,"Mf sísmico",""),IF(INDEX(cb_nom,2)="","",INDEX(cb_nom,2)))</f>
        <v>1.2D+1.0E+L</v>
      </c>
      <c r="F110" s="49" t="str">
        <f aca="false">IF(k_seis=1,IF(3=1,"Mf sísmico",""),IF(INDEX(cb_nom,3)="","",INDEX(cb_nom,3)))</f>
        <v>0.9D+1.0E</v>
      </c>
      <c r="G110" s="49" t="str">
        <f aca="false">IF(k_seis=1,IF(4=1,"Mf sísmico",""),IF(INDEX(cb_nom,4)="","",INDEX(cb_nom,4)))</f>
        <v>1.2D+1.0W+L</v>
      </c>
      <c r="H110" s="49" t="str">
        <f aca="false">IF(k_seis=1,IF(5=1,"Mf sísmico",""),IF(INDEX(cb_nom,5)="","",INDEX(cb_nom,5)))</f>
        <v>C5</v>
      </c>
      <c r="I110" s="49" t="str">
        <f aca="false">IF(k_seis=1,IF(6=1,"Mf sísmico",""),IF(INDEX(cb_nom,6)="","",INDEX(cb_nom,6)))</f>
        <v>C6</v>
      </c>
      <c r="J110" s="49" t="str">
        <f aca="false">IF(k_seis=1,IF(7=1,"Mf sísmico",""),IF(INDEX(cb_nom,7)="","",INDEX(cb_nom,7)))</f>
        <v>C7</v>
      </c>
      <c r="K110" s="49" t="str">
        <f aca="false">IF(k_seis=1,IF(8=1,"Mf sísmico",""),IF(INDEX(cb_nom,8)="","",INDEX(cb_nom,8)))</f>
        <v>C8</v>
      </c>
      <c r="L110" s="49" t="str">
        <f aca="false">IF(k_seis=1,IF(9=1,"Mf sísmico",""),IF(INDEX(cb_nom,9)="","",INDEX(cb_nom,9)))</f>
        <v>C9</v>
      </c>
      <c r="M110" s="49" t="str">
        <f aca="false">IF(k_seis=1,IF(10=1,"Mf sísmico",""),IF(INDEX(cb_nom,10)="","",INDEX(cb_nom,10)))</f>
        <v>C10</v>
      </c>
    </row>
    <row r="111" customFormat="false" ht="15" hidden="false" customHeight="false" outlineLevel="0" collapsed="false">
      <c r="A111" s="43" t="s">
        <v>371</v>
      </c>
      <c r="B111" s="43" t="s">
        <v>372</v>
      </c>
      <c r="C111" s="43" t="s">
        <v>52</v>
      </c>
      <c r="D111" s="50" t="n">
        <f aca="false">IF(k_seis=1,IF(1=1,1,0),IF(ABS(N(INDEX(cb_M,1)))+ABS(N(INDEX(cb_V,1)))&gt;0,1,0))</f>
        <v>1</v>
      </c>
      <c r="E111" s="50" t="n">
        <f aca="false">IF(k_seis=1,IF(2=1,1,0),IF(ABS(N(INDEX(cb_M,2)))+ABS(N(INDEX(cb_V,2)))&gt;0,1,0))</f>
        <v>1</v>
      </c>
      <c r="F111" s="50" t="n">
        <f aca="false">IF(k_seis=1,IF(3=1,1,0),IF(ABS(N(INDEX(cb_M,3)))+ABS(N(INDEX(cb_V,3)))&gt;0,1,0))</f>
        <v>1</v>
      </c>
      <c r="G111" s="50" t="n">
        <f aca="false">IF(k_seis=1,IF(4=1,1,0),IF(ABS(N(INDEX(cb_M,4)))+ABS(N(INDEX(cb_V,4)))&gt;0,1,0))</f>
        <v>1</v>
      </c>
      <c r="H111" s="50" t="n">
        <f aca="false">IF(k_seis=1,IF(5=1,1,0),IF(ABS(N(INDEX(cb_M,5)))+ABS(N(INDEX(cb_V,5)))&gt;0,1,0))</f>
        <v>0</v>
      </c>
      <c r="I111" s="50" t="n">
        <f aca="false">IF(k_seis=1,IF(6=1,1,0),IF(ABS(N(INDEX(cb_M,6)))+ABS(N(INDEX(cb_V,6)))&gt;0,1,0))</f>
        <v>0</v>
      </c>
      <c r="J111" s="50" t="n">
        <f aca="false">IF(k_seis=1,IF(7=1,1,0),IF(ABS(N(INDEX(cb_M,7)))+ABS(N(INDEX(cb_V,7)))&gt;0,1,0))</f>
        <v>0</v>
      </c>
      <c r="K111" s="50" t="n">
        <f aca="false">IF(k_seis=1,IF(8=1,1,0),IF(ABS(N(INDEX(cb_M,8)))+ABS(N(INDEX(cb_V,8)))&gt;0,1,0))</f>
        <v>0</v>
      </c>
      <c r="L111" s="50" t="n">
        <f aca="false">IF(k_seis=1,IF(9=1,1,0),IF(ABS(N(INDEX(cb_M,9)))+ABS(N(INDEX(cb_V,9)))&gt;0,1,0))</f>
        <v>0</v>
      </c>
      <c r="M111" s="50" t="n">
        <f aca="false">IF(k_seis=1,IF(10=1,1,0),IF(ABS(N(INDEX(cb_M,10)))+ABS(N(INDEX(cb_V,10)))&gt;0,1,0))</f>
        <v>0</v>
      </c>
    </row>
    <row r="112" customFormat="false" ht="15" hidden="false" customHeight="false" outlineLevel="0" collapsed="false">
      <c r="A112" s="43" t="s">
        <v>373</v>
      </c>
      <c r="B112" s="43" t="s">
        <v>374</v>
      </c>
      <c r="C112" s="43" t="s">
        <v>269</v>
      </c>
      <c r="D112" s="50" t="n">
        <f aca="false">IF(k_seis=1,D111*k_Mf,ABS(N(INDEX(cb_M,1)))*100000)</f>
        <v>950000</v>
      </c>
      <c r="E112" s="50" t="n">
        <f aca="false">IF(k_seis=1,E111*k_Mf,ABS(N(INDEX(cb_M,2)))*100000)</f>
        <v>1400000</v>
      </c>
      <c r="F112" s="50" t="n">
        <f aca="false">IF(k_seis=1,F111*k_Mf,ABS(N(INDEX(cb_M,3)))*100000)</f>
        <v>1150000</v>
      </c>
      <c r="G112" s="50" t="n">
        <f aca="false">IF(k_seis=1,G111*k_Mf,ABS(N(INDEX(cb_M,4)))*100000)</f>
        <v>800000</v>
      </c>
      <c r="H112" s="50" t="n">
        <f aca="false">IF(k_seis=1,H111*k_Mf,ABS(N(INDEX(cb_M,5)))*100000)</f>
        <v>0</v>
      </c>
      <c r="I112" s="50" t="n">
        <f aca="false">IF(k_seis=1,I111*k_Mf,ABS(N(INDEX(cb_M,6)))*100000)</f>
        <v>0</v>
      </c>
      <c r="J112" s="50" t="n">
        <f aca="false">IF(k_seis=1,J111*k_Mf,ABS(N(INDEX(cb_M,7)))*100000)</f>
        <v>0</v>
      </c>
      <c r="K112" s="50" t="n">
        <f aca="false">IF(k_seis=1,K111*k_Mf,ABS(N(INDEX(cb_M,8)))*100000)</f>
        <v>0</v>
      </c>
      <c r="L112" s="50" t="n">
        <f aca="false">IF(k_seis=1,L111*k_Mf,ABS(N(INDEX(cb_M,9)))*100000)</f>
        <v>0</v>
      </c>
      <c r="M112" s="50" t="n">
        <f aca="false">IF(k_seis=1,M111*k_Mf,ABS(N(INDEX(cb_M,10)))*100000)</f>
        <v>0</v>
      </c>
    </row>
    <row r="113" customFormat="false" ht="15" hidden="false" customHeight="false" outlineLevel="0" collapsed="false">
      <c r="A113" s="43" t="s">
        <v>349</v>
      </c>
      <c r="B113" s="43" t="s">
        <v>375</v>
      </c>
      <c r="C113" s="43" t="s">
        <v>266</v>
      </c>
      <c r="D113" s="50" t="n">
        <f aca="false">IF(k_seis=1,D111*k_Vus,ABS(N(INDEX(cb_V,1)))*1000)</f>
        <v>6000</v>
      </c>
      <c r="E113" s="50" t="n">
        <f aca="false">IF(k_seis=1,E111*k_Vus,ABS(N(INDEX(cb_V,2)))*1000)</f>
        <v>7000</v>
      </c>
      <c r="F113" s="50" t="n">
        <f aca="false">IF(k_seis=1,F111*k_Vus,ABS(N(INDEX(cb_V,3)))*1000)</f>
        <v>4500</v>
      </c>
      <c r="G113" s="50" t="n">
        <f aca="false">IF(k_seis=1,G111*k_Vus,ABS(N(INDEX(cb_V,4)))*1000)</f>
        <v>5000</v>
      </c>
      <c r="H113" s="50" t="n">
        <f aca="false">IF(k_seis=1,H111*k_Vus,ABS(N(INDEX(cb_V,5)))*1000)</f>
        <v>0</v>
      </c>
      <c r="I113" s="50" t="n">
        <f aca="false">IF(k_seis=1,I111*k_Vus,ABS(N(INDEX(cb_V,6)))*1000)</f>
        <v>0</v>
      </c>
      <c r="J113" s="50" t="n">
        <f aca="false">IF(k_seis=1,J111*k_Vus,ABS(N(INDEX(cb_V,7)))*1000)</f>
        <v>0</v>
      </c>
      <c r="K113" s="50" t="n">
        <f aca="false">IF(k_seis=1,K111*k_Vus,ABS(N(INDEX(cb_V,8)))*1000)</f>
        <v>0</v>
      </c>
      <c r="L113" s="50" t="n">
        <f aca="false">IF(k_seis=1,L111*k_Vus,ABS(N(INDEX(cb_V,9)))*1000)</f>
        <v>0</v>
      </c>
      <c r="M113" s="50" t="n">
        <f aca="false">IF(k_seis=1,M111*k_Vus,ABS(N(INDEX(cb_V,10)))*1000)</f>
        <v>0</v>
      </c>
    </row>
    <row r="114" customFormat="false" ht="15" hidden="false" customHeight="false" outlineLevel="0" collapsed="false">
      <c r="A114" s="43" t="s">
        <v>376</v>
      </c>
      <c r="B114" s="43" t="s">
        <v>377</v>
      </c>
      <c r="C114" s="43" t="s">
        <v>42</v>
      </c>
      <c r="D114" s="51" t="n">
        <f aca="false">SQRT(2*D112/(PI()*k_phin*pn_Fnt*k_sh))*10</f>
        <v>12.8146614351097</v>
      </c>
      <c r="E114" s="51" t="n">
        <f aca="false">SQRT(2*E112/(PI()*k_phin*pn_Fnt*k_sh))*10</f>
        <v>15.5564089610438</v>
      </c>
      <c r="F114" s="51" t="n">
        <f aca="false">SQRT(2*F112/(PI()*k_phin*pn_Fnt*k_sh))*10</f>
        <v>14.0991929537963</v>
      </c>
      <c r="G114" s="51" t="n">
        <f aca="false">SQRT(2*G112/(PI()*k_phin*pn_Fnt*k_sh))*10</f>
        <v>11.7595398297539</v>
      </c>
      <c r="H114" s="51" t="n">
        <f aca="false">SQRT(2*H112/(PI()*k_phin*pn_Fnt*k_sh))*10</f>
        <v>0</v>
      </c>
      <c r="I114" s="51" t="n">
        <f aca="false">SQRT(2*I112/(PI()*k_phin*pn_Fnt*k_sh))*10</f>
        <v>0</v>
      </c>
      <c r="J114" s="51" t="n">
        <f aca="false">SQRT(2*J112/(PI()*k_phin*pn_Fnt*k_sh))*10</f>
        <v>0</v>
      </c>
      <c r="K114" s="51" t="n">
        <f aca="false">SQRT(2*K112/(PI()*k_phin*pn_Fnt*k_sh))*10</f>
        <v>0</v>
      </c>
      <c r="L114" s="51" t="n">
        <f aca="false">SQRT(2*L112/(PI()*k_phin*pn_Fnt*k_sh))*10</f>
        <v>0</v>
      </c>
      <c r="M114" s="51" t="n">
        <f aca="false">SQRT(2*M112/(PI()*k_phin*pn_Fnt*k_sh))*10</f>
        <v>0</v>
      </c>
    </row>
    <row r="115" customFormat="false" ht="15" hidden="false" customHeight="false" outlineLevel="0" collapsed="false">
      <c r="A115" s="43" t="s">
        <v>378</v>
      </c>
      <c r="B115" s="43" t="s">
        <v>379</v>
      </c>
      <c r="C115" s="43" t="s">
        <v>266</v>
      </c>
      <c r="D115" s="50" t="n">
        <f aca="false">D112/(k_d-k_tf)</f>
        <v>24484.5360824742</v>
      </c>
      <c r="E115" s="50" t="n">
        <f aca="false">E112/(k_d-k_tf)</f>
        <v>36082.4742268041</v>
      </c>
      <c r="F115" s="50" t="n">
        <f aca="false">F112/(k_d-k_tf)</f>
        <v>29639.175257732</v>
      </c>
      <c r="G115" s="50" t="n">
        <f aca="false">G112/(k_d-k_tf)</f>
        <v>20618.5567010309</v>
      </c>
      <c r="H115" s="50" t="n">
        <f aca="false">H112/(k_d-k_tf)</f>
        <v>0</v>
      </c>
      <c r="I115" s="50" t="n">
        <f aca="false">I112/(k_d-k_tf)</f>
        <v>0</v>
      </c>
      <c r="J115" s="50" t="n">
        <f aca="false">J112/(k_d-k_tf)</f>
        <v>0</v>
      </c>
      <c r="K115" s="50" t="n">
        <f aca="false">K112/(k_d-k_tf)</f>
        <v>0</v>
      </c>
      <c r="L115" s="50" t="n">
        <f aca="false">L112/(k_d-k_tf)</f>
        <v>0</v>
      </c>
      <c r="M115" s="50" t="n">
        <f aca="false">M112/(k_d-k_tf)</f>
        <v>0</v>
      </c>
    </row>
    <row r="116" customFormat="false" ht="15" hidden="false" customHeight="false" outlineLevel="0" collapsed="false">
      <c r="A116" s="43" t="s">
        <v>380</v>
      </c>
      <c r="B116" s="43" t="s">
        <v>381</v>
      </c>
      <c r="C116" s="43" t="s">
        <v>52</v>
      </c>
      <c r="D116" s="52" t="n">
        <f aca="false">D112/(k_phin*k_Mnp)</f>
        <v>0.332453365549416</v>
      </c>
      <c r="E116" s="52" t="n">
        <f aca="false">E112/(k_phin*k_Mnp)</f>
        <v>0.489931275546507</v>
      </c>
      <c r="F116" s="52" t="n">
        <f aca="false">F112/(k_phin*k_Mnp)</f>
        <v>0.402443547770345</v>
      </c>
      <c r="G116" s="52" t="n">
        <f aca="false">G112/(k_phin*k_Mnp)</f>
        <v>0.279960728883718</v>
      </c>
      <c r="H116" s="52" t="n">
        <f aca="false">H112/(k_phin*k_Mnp)</f>
        <v>0</v>
      </c>
      <c r="I116" s="52" t="n">
        <f aca="false">I112/(k_phin*k_Mnp)</f>
        <v>0</v>
      </c>
      <c r="J116" s="52" t="n">
        <f aca="false">J112/(k_phin*k_Mnp)</f>
        <v>0</v>
      </c>
      <c r="K116" s="52" t="n">
        <f aca="false">K112/(k_phin*k_Mnp)</f>
        <v>0</v>
      </c>
      <c r="L116" s="52" t="n">
        <f aca="false">L112/(k_phin*k_Mnp)</f>
        <v>0</v>
      </c>
      <c r="M116" s="52" t="n">
        <f aca="false">M112/(k_phin*k_Mnp)</f>
        <v>0</v>
      </c>
    </row>
    <row r="117" customFormat="false" ht="15" hidden="false" customHeight="false" outlineLevel="0" collapsed="false">
      <c r="A117" s="43" t="s">
        <v>382</v>
      </c>
      <c r="B117" s="43" t="s">
        <v>383</v>
      </c>
      <c r="C117" s="43" t="s">
        <v>31</v>
      </c>
      <c r="D117" s="53" t="n">
        <f aca="false">IF(k_seis=1,1.11*D112,1.11*k_phin*k_Mnp*D111)/100000</f>
        <v>31.7187343932381</v>
      </c>
      <c r="E117" s="53" t="n">
        <f aca="false">IF(k_seis=1,1.11*E112,1.11*k_phin*k_Mnp*E111)/100000</f>
        <v>31.7187343932381</v>
      </c>
      <c r="F117" s="53" t="n">
        <f aca="false">IF(k_seis=1,1.11*F112,1.11*k_phin*k_Mnp*F111)/100000</f>
        <v>31.7187343932381</v>
      </c>
      <c r="G117" s="53" t="n">
        <f aca="false">IF(k_seis=1,1.11*G112,1.11*k_phin*k_Mnp*G111)/100000</f>
        <v>31.7187343932381</v>
      </c>
      <c r="H117" s="53" t="n">
        <f aca="false">IF(k_seis=1,1.11*H112,1.11*k_phin*k_Mnp*H111)/100000</f>
        <v>0</v>
      </c>
      <c r="I117" s="53" t="n">
        <f aca="false">IF(k_seis=1,1.11*I112,1.11*k_phin*k_Mnp*I111)/100000</f>
        <v>0</v>
      </c>
      <c r="J117" s="53" t="n">
        <f aca="false">IF(k_seis=1,1.11*J112,1.11*k_phin*k_Mnp*J111)/100000</f>
        <v>0</v>
      </c>
      <c r="K117" s="53" t="n">
        <f aca="false">IF(k_seis=1,1.11*K112,1.11*k_phin*k_Mnp*K111)/100000</f>
        <v>0</v>
      </c>
      <c r="L117" s="53" t="n">
        <f aca="false">IF(k_seis=1,1.11*L112,1.11*k_phin*k_Mnp*L111)/100000</f>
        <v>0</v>
      </c>
      <c r="M117" s="53" t="n">
        <f aca="false">IF(k_seis=1,1.11*M112,1.11*k_phin*k_Mnp*M111)/100000</f>
        <v>0</v>
      </c>
    </row>
    <row r="118" customFormat="false" ht="15" hidden="false" customHeight="false" outlineLevel="0" collapsed="false">
      <c r="A118" s="43" t="s">
        <v>380</v>
      </c>
      <c r="B118" s="43" t="s">
        <v>384</v>
      </c>
      <c r="C118" s="43" t="s">
        <v>52</v>
      </c>
      <c r="D118" s="52" t="n">
        <f aca="false">D117*100000/k_phiMpl</f>
        <v>0.561118880487205</v>
      </c>
      <c r="E118" s="52" t="n">
        <f aca="false">E117*100000/k_phiMpl</f>
        <v>0.561118880487205</v>
      </c>
      <c r="F118" s="52" t="n">
        <f aca="false">F117*100000/k_phiMpl</f>
        <v>0.561118880487205</v>
      </c>
      <c r="G118" s="52" t="n">
        <f aca="false">G117*100000/k_phiMpl</f>
        <v>0.561118880487205</v>
      </c>
      <c r="H118" s="52" t="n">
        <f aca="false">H117*100000/k_phiMpl</f>
        <v>0</v>
      </c>
      <c r="I118" s="52" t="n">
        <f aca="false">I117*100000/k_phiMpl</f>
        <v>0</v>
      </c>
      <c r="J118" s="52" t="n">
        <f aca="false">J117*100000/k_phiMpl</f>
        <v>0</v>
      </c>
      <c r="K118" s="52" t="n">
        <f aca="false">K117*100000/k_phiMpl</f>
        <v>0</v>
      </c>
      <c r="L118" s="52" t="n">
        <f aca="false">L117*100000/k_phiMpl</f>
        <v>0</v>
      </c>
      <c r="M118" s="52" t="n">
        <f aca="false">M117*100000/k_phiMpl</f>
        <v>0</v>
      </c>
    </row>
    <row r="119" customFormat="false" ht="15" hidden="false" customHeight="false" outlineLevel="0" collapsed="false">
      <c r="A119" s="43" t="s">
        <v>385</v>
      </c>
      <c r="B119" s="43" t="s">
        <v>386</v>
      </c>
      <c r="C119" s="43" t="s">
        <v>42</v>
      </c>
      <c r="D119" s="51" t="n">
        <f aca="false">SQRT(D117*100000/(k_phiy*pl_Fy*k_Yp))*10</f>
        <v>18.7269671945167</v>
      </c>
      <c r="E119" s="51" t="n">
        <f aca="false">SQRT(E117*100000/(k_phiy*pl_Fy*k_Yp))*10</f>
        <v>18.7269671945167</v>
      </c>
      <c r="F119" s="51" t="n">
        <f aca="false">SQRT(F117*100000/(k_phiy*pl_Fy*k_Yp))*10</f>
        <v>18.7269671945167</v>
      </c>
      <c r="G119" s="51" t="n">
        <f aca="false">SQRT(G117*100000/(k_phiy*pl_Fy*k_Yp))*10</f>
        <v>18.7269671945167</v>
      </c>
      <c r="H119" s="51" t="n">
        <f aca="false">SQRT(H117*100000/(k_phiy*pl_Fy*k_Yp))*10</f>
        <v>0</v>
      </c>
      <c r="I119" s="51" t="n">
        <f aca="false">SQRT(I117*100000/(k_phiy*pl_Fy*k_Yp))*10</f>
        <v>0</v>
      </c>
      <c r="J119" s="51" t="n">
        <f aca="false">SQRT(J117*100000/(k_phiy*pl_Fy*k_Yp))*10</f>
        <v>0</v>
      </c>
      <c r="K119" s="51" t="n">
        <f aca="false">SQRT(K117*100000/(k_phiy*pl_Fy*k_Yp))*10</f>
        <v>0</v>
      </c>
      <c r="L119" s="51" t="n">
        <f aca="false">SQRT(L117*100000/(k_phiy*pl_Fy*k_Yp))*10</f>
        <v>0</v>
      </c>
      <c r="M119" s="51" t="n">
        <f aca="false">SQRT(M117*100000/(k_phiy*pl_Fy*k_Yp))*10</f>
        <v>0</v>
      </c>
    </row>
    <row r="120" customFormat="false" ht="15" hidden="false" customHeight="false" outlineLevel="0" collapsed="false">
      <c r="A120" s="43" t="s">
        <v>380</v>
      </c>
      <c r="B120" s="43" t="s">
        <v>387</v>
      </c>
      <c r="C120" s="43" t="s">
        <v>52</v>
      </c>
      <c r="D120" s="52" t="n">
        <f aca="false">IF(k_is4E=1,D115/2/k_Rsy,0)</f>
        <v>0.116095476920219</v>
      </c>
      <c r="E120" s="52" t="n">
        <f aca="false">IF(k_is4E=1,E115/2/k_Rsy,0)</f>
        <v>0.171088071250849</v>
      </c>
      <c r="F120" s="52" t="n">
        <f aca="false">IF(k_is4E=1,F115/2/k_Rsy,0)</f>
        <v>0.140536629956055</v>
      </c>
      <c r="G120" s="52" t="n">
        <f aca="false">IF(k_is4E=1,G115/2/k_Rsy,0)</f>
        <v>0.0977646121433425</v>
      </c>
      <c r="H120" s="52" t="n">
        <f aca="false">IF(k_is4E=1,H115/2/k_Rsy,0)</f>
        <v>0</v>
      </c>
      <c r="I120" s="52" t="n">
        <f aca="false">IF(k_is4E=1,I115/2/k_Rsy,0)</f>
        <v>0</v>
      </c>
      <c r="J120" s="52" t="n">
        <f aca="false">IF(k_is4E=1,J115/2/k_Rsy,0)</f>
        <v>0</v>
      </c>
      <c r="K120" s="52" t="n">
        <f aca="false">IF(k_is4E=1,K115/2/k_Rsy,0)</f>
        <v>0</v>
      </c>
      <c r="L120" s="52" t="n">
        <f aca="false">IF(k_is4E=1,L115/2/k_Rsy,0)</f>
        <v>0</v>
      </c>
      <c r="M120" s="52" t="n">
        <f aca="false">IF(k_is4E=1,M115/2/k_Rsy,0)</f>
        <v>0</v>
      </c>
    </row>
    <row r="121" customFormat="false" ht="15" hidden="false" customHeight="false" outlineLevel="0" collapsed="false">
      <c r="A121" s="43" t="s">
        <v>380</v>
      </c>
      <c r="B121" s="43" t="s">
        <v>388</v>
      </c>
      <c r="C121" s="43" t="s">
        <v>52</v>
      </c>
      <c r="D121" s="52" t="n">
        <f aca="false">IF(k_is4E=1,D115/2/k_Rsr,0)</f>
        <v>0.159596858469902</v>
      </c>
      <c r="E121" s="52" t="n">
        <f aca="false">IF(k_is4E=1,E115/2/k_Rsr,0)</f>
        <v>0.235195370376698</v>
      </c>
      <c r="F121" s="52" t="n">
        <f aca="false">IF(k_is4E=1,F115/2/k_Rsr,0)</f>
        <v>0.193196197095145</v>
      </c>
      <c r="G121" s="52" t="n">
        <f aca="false">IF(k_is4E=1,G115/2/k_Rsr,0)</f>
        <v>0.13439735450097</v>
      </c>
      <c r="H121" s="52" t="n">
        <f aca="false">IF(k_is4E=1,H115/2/k_Rsr,0)</f>
        <v>0</v>
      </c>
      <c r="I121" s="52" t="n">
        <f aca="false">IF(k_is4E=1,I115/2/k_Rsr,0)</f>
        <v>0</v>
      </c>
      <c r="J121" s="52" t="n">
        <f aca="false">IF(k_is4E=1,J115/2/k_Rsr,0)</f>
        <v>0</v>
      </c>
      <c r="K121" s="52" t="n">
        <f aca="false">IF(k_is4E=1,K115/2/k_Rsr,0)</f>
        <v>0</v>
      </c>
      <c r="L121" s="52" t="n">
        <f aca="false">IF(k_is4E=1,L115/2/k_Rsr,0)</f>
        <v>0</v>
      </c>
      <c r="M121" s="52" t="n">
        <f aca="false">IF(k_is4E=1,M115/2/k_Rsr,0)</f>
        <v>0</v>
      </c>
    </row>
    <row r="122" customFormat="false" ht="15" hidden="false" customHeight="false" outlineLevel="0" collapsed="false">
      <c r="A122" s="43" t="s">
        <v>380</v>
      </c>
      <c r="B122" s="43" t="s">
        <v>57</v>
      </c>
      <c r="C122" s="43" t="s">
        <v>52</v>
      </c>
      <c r="D122" s="52" t="n">
        <f aca="false">D113/k_Rvb</f>
        <v>0.135773801496304</v>
      </c>
      <c r="E122" s="52" t="n">
        <f aca="false">E113/k_Rvb</f>
        <v>0.158402768412354</v>
      </c>
      <c r="F122" s="52" t="n">
        <f aca="false">F113/k_Rvb</f>
        <v>0.101830351122228</v>
      </c>
      <c r="G122" s="52" t="n">
        <f aca="false">G113/k_Rvb</f>
        <v>0.113144834580253</v>
      </c>
      <c r="H122" s="52" t="n">
        <f aca="false">H113/k_Rvb</f>
        <v>0</v>
      </c>
      <c r="I122" s="52" t="n">
        <f aca="false">I113/k_Rvb</f>
        <v>0</v>
      </c>
      <c r="J122" s="52" t="n">
        <f aca="false">J113/k_Rvb</f>
        <v>0</v>
      </c>
      <c r="K122" s="52" t="n">
        <f aca="false">K113/k_Rvb</f>
        <v>0</v>
      </c>
      <c r="L122" s="52" t="n">
        <f aca="false">L113/k_Rvb</f>
        <v>0</v>
      </c>
      <c r="M122" s="52" t="n">
        <f aca="false">M113/k_Rvb</f>
        <v>0</v>
      </c>
    </row>
    <row r="123" customFormat="false" ht="15" hidden="false" customHeight="false" outlineLevel="0" collapsed="false">
      <c r="A123" s="43" t="s">
        <v>380</v>
      </c>
      <c r="B123" s="43" t="s">
        <v>389</v>
      </c>
      <c r="C123" s="43" t="s">
        <v>52</v>
      </c>
      <c r="D123" s="52" t="n">
        <f aca="false">D113/k_Rbp</f>
        <v>0.0402181912283245</v>
      </c>
      <c r="E123" s="52" t="n">
        <f aca="false">E113/k_Rbp</f>
        <v>0.0469212230997119</v>
      </c>
      <c r="F123" s="52" t="n">
        <f aca="false">F113/k_Rbp</f>
        <v>0.0301636434212434</v>
      </c>
      <c r="G123" s="52" t="n">
        <f aca="false">G113/k_Rbp</f>
        <v>0.0335151593569371</v>
      </c>
      <c r="H123" s="52" t="n">
        <f aca="false">H113/k_Rbp</f>
        <v>0</v>
      </c>
      <c r="I123" s="52" t="n">
        <f aca="false">I113/k_Rbp</f>
        <v>0</v>
      </c>
      <c r="J123" s="52" t="n">
        <f aca="false">J113/k_Rbp</f>
        <v>0</v>
      </c>
      <c r="K123" s="52" t="n">
        <f aca="false">K113/k_Rbp</f>
        <v>0</v>
      </c>
      <c r="L123" s="52" t="n">
        <f aca="false">L113/k_Rbp</f>
        <v>0</v>
      </c>
      <c r="M123" s="52" t="n">
        <f aca="false">M113/k_Rbp</f>
        <v>0</v>
      </c>
    </row>
    <row r="124" customFormat="false" ht="15" hidden="false" customHeight="false" outlineLevel="0" collapsed="false">
      <c r="A124" s="43" t="s">
        <v>380</v>
      </c>
      <c r="B124" s="43" t="s">
        <v>390</v>
      </c>
      <c r="C124" s="43" t="s">
        <v>52</v>
      </c>
      <c r="D124" s="52" t="n">
        <f aca="false">D113/k_Rbc</f>
        <v>0.0546977579662498</v>
      </c>
      <c r="E124" s="52" t="n">
        <f aca="false">E113/k_Rbc</f>
        <v>0.0638140509606248</v>
      </c>
      <c r="F124" s="52" t="n">
        <f aca="false">F113/k_Rbc</f>
        <v>0.0410233184746874</v>
      </c>
      <c r="G124" s="52" t="n">
        <f aca="false">G113/k_Rbc</f>
        <v>0.0455814649718749</v>
      </c>
      <c r="H124" s="52" t="n">
        <f aca="false">H113/k_Rbc</f>
        <v>0</v>
      </c>
      <c r="I124" s="52" t="n">
        <f aca="false">I113/k_Rbc</f>
        <v>0</v>
      </c>
      <c r="J124" s="52" t="n">
        <f aca="false">J113/k_Rbc</f>
        <v>0</v>
      </c>
      <c r="K124" s="52" t="n">
        <f aca="false">K113/k_Rbc</f>
        <v>0</v>
      </c>
      <c r="L124" s="52" t="n">
        <f aca="false">L113/k_Rbc</f>
        <v>0</v>
      </c>
      <c r="M124" s="52" t="n">
        <f aca="false">M113/k_Rbc</f>
        <v>0</v>
      </c>
    </row>
    <row r="125" customFormat="false" ht="15" hidden="false" customHeight="false" outlineLevel="0" collapsed="false">
      <c r="A125" s="43" t="s">
        <v>380</v>
      </c>
      <c r="B125" s="43" t="s">
        <v>391</v>
      </c>
      <c r="C125" s="43" t="s">
        <v>52</v>
      </c>
      <c r="D125" s="52" t="n">
        <f aca="false">IF(k_seis=1,0,D115/k_Rwf)</f>
        <v>0.294578012898849</v>
      </c>
      <c r="E125" s="52" t="n">
        <f aca="false">IF(k_seis=1,0,E115/k_Rwf)</f>
        <v>0.434114966377251</v>
      </c>
      <c r="F125" s="52" t="n">
        <f aca="false">IF(k_seis=1,0,F115/k_Rwf)</f>
        <v>0.356594436667028</v>
      </c>
      <c r="G125" s="52" t="n">
        <f aca="false">IF(k_seis=1,0,G115/k_Rwf)</f>
        <v>0.248065695072715</v>
      </c>
      <c r="H125" s="52" t="n">
        <f aca="false">IF(k_seis=1,0,H115/k_Rwf)</f>
        <v>0</v>
      </c>
      <c r="I125" s="52" t="n">
        <f aca="false">IF(k_seis=1,0,I115/k_Rwf)</f>
        <v>0</v>
      </c>
      <c r="J125" s="52" t="n">
        <f aca="false">IF(k_seis=1,0,J115/k_Rwf)</f>
        <v>0</v>
      </c>
      <c r="K125" s="52" t="n">
        <f aca="false">IF(k_seis=1,0,K115/k_Rwf)</f>
        <v>0</v>
      </c>
      <c r="L125" s="52" t="n">
        <f aca="false">IF(k_seis=1,0,L115/k_Rwf)</f>
        <v>0</v>
      </c>
      <c r="M125" s="52" t="n">
        <f aca="false">IF(k_seis=1,0,M115/k_Rwf)</f>
        <v>0</v>
      </c>
    </row>
    <row r="126" customFormat="false" ht="15" hidden="false" customHeight="false" outlineLevel="0" collapsed="false">
      <c r="A126" s="43" t="s">
        <v>380</v>
      </c>
      <c r="B126" s="43" t="s">
        <v>392</v>
      </c>
      <c r="C126" s="43" t="s">
        <v>52</v>
      </c>
      <c r="D126" s="52" t="n">
        <f aca="false">D111*k_wtD/k_wtC</f>
        <v>0.673673639140918</v>
      </c>
      <c r="E126" s="52" t="n">
        <f aca="false">E111*k_wtD/k_wtC</f>
        <v>0.673673639140918</v>
      </c>
      <c r="F126" s="52" t="n">
        <f aca="false">F111*k_wtD/k_wtC</f>
        <v>0.673673639140918</v>
      </c>
      <c r="G126" s="52" t="n">
        <f aca="false">G111*k_wtD/k_wtC</f>
        <v>0.673673639140918</v>
      </c>
      <c r="H126" s="52" t="n">
        <f aca="false">H111*k_wtD/k_wtC</f>
        <v>0</v>
      </c>
      <c r="I126" s="52" t="n">
        <f aca="false">I111*k_wtD/k_wtC</f>
        <v>0</v>
      </c>
      <c r="J126" s="52" t="n">
        <f aca="false">J111*k_wtD/k_wtC</f>
        <v>0</v>
      </c>
      <c r="K126" s="52" t="n">
        <f aca="false">K111*k_wtD/k_wtC</f>
        <v>0</v>
      </c>
      <c r="L126" s="52" t="n">
        <f aca="false">L111*k_wtD/k_wtC</f>
        <v>0</v>
      </c>
      <c r="M126" s="52" t="n">
        <f aca="false">M111*k_wtD/k_wtC</f>
        <v>0</v>
      </c>
    </row>
    <row r="127" customFormat="false" ht="15" hidden="false" customHeight="false" outlineLevel="0" collapsed="false">
      <c r="A127" s="43" t="s">
        <v>380</v>
      </c>
      <c r="B127" s="43" t="s">
        <v>393</v>
      </c>
      <c r="C127" s="43" t="s">
        <v>52</v>
      </c>
      <c r="D127" s="52" t="n">
        <f aca="false">D113/k_Rwv</f>
        <v>0.169908507395084</v>
      </c>
      <c r="E127" s="52" t="n">
        <f aca="false">E113/k_Rwv</f>
        <v>0.198226591960932</v>
      </c>
      <c r="F127" s="52" t="n">
        <f aca="false">F113/k_Rwv</f>
        <v>0.127431380546313</v>
      </c>
      <c r="G127" s="52" t="n">
        <f aca="false">G113/k_Rwv</f>
        <v>0.141590422829237</v>
      </c>
      <c r="H127" s="52" t="n">
        <f aca="false">H113/k_Rwv</f>
        <v>0</v>
      </c>
      <c r="I127" s="52" t="n">
        <f aca="false">I113/k_Rwv</f>
        <v>0</v>
      </c>
      <c r="J127" s="52" t="n">
        <f aca="false">J113/k_Rwv</f>
        <v>0</v>
      </c>
      <c r="K127" s="52" t="n">
        <f aca="false">K113/k_Rwv</f>
        <v>0</v>
      </c>
      <c r="L127" s="52" t="n">
        <f aca="false">L113/k_Rwv</f>
        <v>0</v>
      </c>
      <c r="M127" s="52" t="n">
        <f aca="false">M113/k_Rwv</f>
        <v>0</v>
      </c>
    </row>
    <row r="128" customFormat="false" ht="15" hidden="false" customHeight="false" outlineLevel="0" collapsed="false">
      <c r="A128" s="43" t="s">
        <v>382</v>
      </c>
      <c r="B128" s="43" t="s">
        <v>394</v>
      </c>
      <c r="C128" s="43" t="s">
        <v>31</v>
      </c>
      <c r="D128" s="53" t="n">
        <f aca="false">IF(k_seis=1,1.11*D112,1.11*k_phin*k_Mnp*D111)/100000</f>
        <v>31.7187343932381</v>
      </c>
      <c r="E128" s="53" t="n">
        <f aca="false">IF(k_seis=1,1.11*E112,1.11*k_phin*k_Mnp*E111)/100000</f>
        <v>31.7187343932381</v>
      </c>
      <c r="F128" s="53" t="n">
        <f aca="false">IF(k_seis=1,1.11*F112,1.11*k_phin*k_Mnp*F111)/100000</f>
        <v>31.7187343932381</v>
      </c>
      <c r="G128" s="53" t="n">
        <f aca="false">IF(k_seis=1,1.11*G112,1.11*k_phin*k_Mnp*G111)/100000</f>
        <v>31.7187343932381</v>
      </c>
      <c r="H128" s="53" t="n">
        <f aca="false">IF(k_seis=1,1.11*H112,1.11*k_phin*k_Mnp*H111)/100000</f>
        <v>0</v>
      </c>
      <c r="I128" s="53" t="n">
        <f aca="false">IF(k_seis=1,1.11*I112,1.11*k_phin*k_Mnp*I111)/100000</f>
        <v>0</v>
      </c>
      <c r="J128" s="53" t="n">
        <f aca="false">IF(k_seis=1,1.11*J112,1.11*k_phin*k_Mnp*J111)/100000</f>
        <v>0</v>
      </c>
      <c r="K128" s="53" t="n">
        <f aca="false">IF(k_seis=1,1.11*K112,1.11*k_phin*k_Mnp*K111)/100000</f>
        <v>0</v>
      </c>
      <c r="L128" s="53" t="n">
        <f aca="false">IF(k_seis=1,1.11*L112,1.11*k_phin*k_Mnp*L111)/100000</f>
        <v>0</v>
      </c>
      <c r="M128" s="53" t="n">
        <f aca="false">IF(k_seis=1,1.11*M112,1.11*k_phin*k_Mnp*M111)/100000</f>
        <v>0</v>
      </c>
    </row>
    <row r="129" customFormat="false" ht="15" hidden="false" customHeight="false" outlineLevel="0" collapsed="false">
      <c r="A129" s="43" t="s">
        <v>380</v>
      </c>
      <c r="B129" s="43" t="s">
        <v>89</v>
      </c>
      <c r="C129" s="43" t="s">
        <v>52</v>
      </c>
      <c r="D129" s="52" t="n">
        <f aca="false">D128*100000/k_phiMcf</f>
        <v>0.868623983847918</v>
      </c>
      <c r="E129" s="52" t="n">
        <f aca="false">E128*100000/k_phiMcf</f>
        <v>0.868623983847918</v>
      </c>
      <c r="F129" s="52" t="n">
        <f aca="false">F128*100000/k_phiMcf</f>
        <v>0.868623983847918</v>
      </c>
      <c r="G129" s="52" t="n">
        <f aca="false">G128*100000/k_phiMcf</f>
        <v>0.868623983847918</v>
      </c>
      <c r="H129" s="52" t="n">
        <f aca="false">H128*100000/k_phiMcf</f>
        <v>0</v>
      </c>
      <c r="I129" s="52" t="n">
        <f aca="false">I128*100000/k_phiMcf</f>
        <v>0</v>
      </c>
      <c r="J129" s="52" t="n">
        <f aca="false">J128*100000/k_phiMcf</f>
        <v>0</v>
      </c>
      <c r="K129" s="52" t="n">
        <f aca="false">K128*100000/k_phiMcf</f>
        <v>0</v>
      </c>
      <c r="L129" s="52" t="n">
        <f aca="false">L128*100000/k_phiMcf</f>
        <v>0</v>
      </c>
      <c r="M129" s="52" t="n">
        <f aca="false">M128*100000/k_phiMcf</f>
        <v>0</v>
      </c>
    </row>
    <row r="130" customFormat="false" ht="15" hidden="false" customHeight="false" outlineLevel="0" collapsed="false">
      <c r="A130" s="43" t="s">
        <v>395</v>
      </c>
      <c r="B130" s="43" t="s">
        <v>396</v>
      </c>
      <c r="C130" s="43" t="s">
        <v>42</v>
      </c>
      <c r="D130" s="51" t="n">
        <f aca="false">SQRT(D128*100000/(k_phiy*co_Fy*k_Yc))*10</f>
        <v>13.9799998700208</v>
      </c>
      <c r="E130" s="51" t="n">
        <f aca="false">SQRT(E128*100000/(k_phiy*co_Fy*k_Yc))*10</f>
        <v>13.9799998700208</v>
      </c>
      <c r="F130" s="51" t="n">
        <f aca="false">SQRT(F128*100000/(k_phiy*co_Fy*k_Yc))*10</f>
        <v>13.9799998700208</v>
      </c>
      <c r="G130" s="51" t="n">
        <f aca="false">SQRT(G128*100000/(k_phiy*co_Fy*k_Yc))*10</f>
        <v>13.9799998700208</v>
      </c>
      <c r="H130" s="51" t="n">
        <f aca="false">SQRT(H128*100000/(k_phiy*co_Fy*k_Yc))*10</f>
        <v>0</v>
      </c>
      <c r="I130" s="51" t="n">
        <f aca="false">SQRT(I128*100000/(k_phiy*co_Fy*k_Yc))*10</f>
        <v>0</v>
      </c>
      <c r="J130" s="51" t="n">
        <f aca="false">SQRT(J128*100000/(k_phiy*co_Fy*k_Yc))*10</f>
        <v>0</v>
      </c>
      <c r="K130" s="51" t="n">
        <f aca="false">SQRT(K128*100000/(k_phiy*co_Fy*k_Yc))*10</f>
        <v>0</v>
      </c>
      <c r="L130" s="51" t="n">
        <f aca="false">SQRT(L128*100000/(k_phiy*co_Fy*k_Yc))*10</f>
        <v>0</v>
      </c>
      <c r="M130" s="51" t="n">
        <f aca="false">SQRT(M128*100000/(k_phiy*co_Fy*k_Yc))*10</f>
        <v>0</v>
      </c>
    </row>
    <row r="131" customFormat="false" ht="15" hidden="false" customHeight="false" outlineLevel="0" collapsed="false">
      <c r="A131" s="43" t="s">
        <v>380</v>
      </c>
      <c r="B131" s="43" t="s">
        <v>92</v>
      </c>
      <c r="C131" s="43" t="s">
        <v>52</v>
      </c>
      <c r="D131" s="52" t="n">
        <f aca="false">IF(cp_usar="Sí",0,D115/k_Rwy)</f>
        <v>0</v>
      </c>
      <c r="E131" s="52" t="n">
        <f aca="false">IF(cp_usar="Sí",0,E115/k_Rwy)</f>
        <v>0</v>
      </c>
      <c r="F131" s="52" t="n">
        <f aca="false">IF(cp_usar="Sí",0,F115/k_Rwy)</f>
        <v>0</v>
      </c>
      <c r="G131" s="52" t="n">
        <f aca="false">IF(cp_usar="Sí",0,G115/k_Rwy)</f>
        <v>0</v>
      </c>
      <c r="H131" s="52" t="n">
        <f aca="false">IF(cp_usar="Sí",0,H115/k_Rwy)</f>
        <v>0</v>
      </c>
      <c r="I131" s="52" t="n">
        <f aca="false">IF(cp_usar="Sí",0,I115/k_Rwy)</f>
        <v>0</v>
      </c>
      <c r="J131" s="52" t="n">
        <f aca="false">IF(cp_usar="Sí",0,J115/k_Rwy)</f>
        <v>0</v>
      </c>
      <c r="K131" s="52" t="n">
        <f aca="false">IF(cp_usar="Sí",0,K115/k_Rwy)</f>
        <v>0</v>
      </c>
      <c r="L131" s="52" t="n">
        <f aca="false">IF(cp_usar="Sí",0,L115/k_Rwy)</f>
        <v>0</v>
      </c>
      <c r="M131" s="52" t="n">
        <f aca="false">IF(cp_usar="Sí",0,M115/k_Rwy)</f>
        <v>0</v>
      </c>
    </row>
    <row r="132" customFormat="false" ht="15" hidden="false" customHeight="false" outlineLevel="0" collapsed="false">
      <c r="A132" s="43" t="s">
        <v>380</v>
      </c>
      <c r="B132" s="43" t="s">
        <v>397</v>
      </c>
      <c r="C132" s="43" t="s">
        <v>52</v>
      </c>
      <c r="D132" s="52" t="n">
        <f aca="false">IF(cp_usar="Sí",0,D115/k_Rwc)</f>
        <v>0</v>
      </c>
      <c r="E132" s="52" t="n">
        <f aca="false">IF(cp_usar="Sí",0,E115/k_Rwc)</f>
        <v>0</v>
      </c>
      <c r="F132" s="52" t="n">
        <f aca="false">IF(cp_usar="Sí",0,F115/k_Rwc)</f>
        <v>0</v>
      </c>
      <c r="G132" s="52" t="n">
        <f aca="false">IF(cp_usar="Sí",0,G115/k_Rwc)</f>
        <v>0</v>
      </c>
      <c r="H132" s="52" t="n">
        <f aca="false">IF(cp_usar="Sí",0,H115/k_Rwc)</f>
        <v>0</v>
      </c>
      <c r="I132" s="52" t="n">
        <f aca="false">IF(cp_usar="Sí",0,I115/k_Rwc)</f>
        <v>0</v>
      </c>
      <c r="J132" s="52" t="n">
        <f aca="false">IF(cp_usar="Sí",0,J115/k_Rwc)</f>
        <v>0</v>
      </c>
      <c r="K132" s="52" t="n">
        <f aca="false">IF(cp_usar="Sí",0,K115/k_Rwc)</f>
        <v>0</v>
      </c>
      <c r="L132" s="52" t="n">
        <f aca="false">IF(cp_usar="Sí",0,L115/k_Rwc)</f>
        <v>0</v>
      </c>
      <c r="M132" s="52" t="n">
        <f aca="false">IF(cp_usar="Sí",0,M115/k_Rwc)</f>
        <v>0</v>
      </c>
    </row>
    <row r="133" customFormat="false" ht="15" hidden="false" customHeight="false" outlineLevel="0" collapsed="false">
      <c r="A133" s="43" t="s">
        <v>380</v>
      </c>
      <c r="B133" s="43" t="s">
        <v>398</v>
      </c>
      <c r="C133" s="43" t="s">
        <v>52</v>
      </c>
      <c r="D133" s="52" t="n">
        <f aca="false">IF(OR(cp_usar="Sí",dos_lados="No"),0,D115/k_Rwb)</f>
        <v>0</v>
      </c>
      <c r="E133" s="52" t="n">
        <f aca="false">IF(OR(cp_usar="Sí",dos_lados="No"),0,E115/k_Rwb)</f>
        <v>0</v>
      </c>
      <c r="F133" s="52" t="n">
        <f aca="false">IF(OR(cp_usar="Sí",dos_lados="No"),0,F115/k_Rwb)</f>
        <v>0</v>
      </c>
      <c r="G133" s="52" t="n">
        <f aca="false">IF(OR(cp_usar="Sí",dos_lados="No"),0,G115/k_Rwb)</f>
        <v>0</v>
      </c>
      <c r="H133" s="52" t="n">
        <f aca="false">IF(OR(cp_usar="Sí",dos_lados="No"),0,H115/k_Rwb)</f>
        <v>0</v>
      </c>
      <c r="I133" s="52" t="n">
        <f aca="false">IF(OR(cp_usar="Sí",dos_lados="No"),0,I115/k_Rwb)</f>
        <v>0</v>
      </c>
      <c r="J133" s="52" t="n">
        <f aca="false">IF(OR(cp_usar="Sí",dos_lados="No"),0,J115/k_Rwb)</f>
        <v>0</v>
      </c>
      <c r="K133" s="52" t="n">
        <f aca="false">IF(OR(cp_usar="Sí",dos_lados="No"),0,K115/k_Rwb)</f>
        <v>0</v>
      </c>
      <c r="L133" s="52" t="n">
        <f aca="false">IF(OR(cp_usar="Sí",dos_lados="No"),0,L115/k_Rwb)</f>
        <v>0</v>
      </c>
      <c r="M133" s="52" t="n">
        <f aca="false">IF(OR(cp_usar="Sí",dos_lados="No"),0,M115/k_Rwb)</f>
        <v>0</v>
      </c>
    </row>
    <row r="134" customFormat="false" ht="15" hidden="false" customHeight="false" outlineLevel="0" collapsed="false">
      <c r="A134" s="43" t="s">
        <v>399</v>
      </c>
      <c r="B134" s="43" t="s">
        <v>400</v>
      </c>
      <c r="C134" s="43" t="s">
        <v>266</v>
      </c>
      <c r="D134" s="50" t="n">
        <f aca="false">MAX(0,D115-MIN(k_Rcfe,k_Rwy,k_Rwc,IF(dos_lados="Sí",k_Rwb,1000000000000)))</f>
        <v>0</v>
      </c>
      <c r="E134" s="50" t="n">
        <f aca="false">MAX(0,E115-MIN(k_Rcfe,k_Rwy,k_Rwc,IF(dos_lados="Sí",k_Rwb,1000000000000)))</f>
        <v>0</v>
      </c>
      <c r="F134" s="50" t="n">
        <f aca="false">MAX(0,F115-MIN(k_Rcfe,k_Rwy,k_Rwc,IF(dos_lados="Sí",k_Rwb,1000000000000)))</f>
        <v>0</v>
      </c>
      <c r="G134" s="50" t="n">
        <f aca="false">MAX(0,G115-MIN(k_Rcfe,k_Rwy,k_Rwc,IF(dos_lados="Sí",k_Rwb,1000000000000)))</f>
        <v>0</v>
      </c>
      <c r="H134" s="50" t="n">
        <f aca="false">MAX(0,H115-MIN(k_Rcfe,k_Rwy,k_Rwc,IF(dos_lados="Sí",k_Rwb,1000000000000)))</f>
        <v>0</v>
      </c>
      <c r="I134" s="50" t="n">
        <f aca="false">MAX(0,I115-MIN(k_Rcfe,k_Rwy,k_Rwc,IF(dos_lados="Sí",k_Rwb,1000000000000)))</f>
        <v>0</v>
      </c>
      <c r="J134" s="50" t="n">
        <f aca="false">MAX(0,J115-MIN(k_Rcfe,k_Rwy,k_Rwc,IF(dos_lados="Sí",k_Rwb,1000000000000)))</f>
        <v>0</v>
      </c>
      <c r="K134" s="50" t="n">
        <f aca="false">MAX(0,K115-MIN(k_Rcfe,k_Rwy,k_Rwc,IF(dos_lados="Sí",k_Rwb,1000000000000)))</f>
        <v>0</v>
      </c>
      <c r="L134" s="50" t="n">
        <f aca="false">MAX(0,L115-MIN(k_Rcfe,k_Rwy,k_Rwc,IF(dos_lados="Sí",k_Rwb,1000000000000)))</f>
        <v>0</v>
      </c>
      <c r="M134" s="50" t="n">
        <f aca="false">MAX(0,M115-MIN(k_Rcfe,k_Rwy,k_Rwc,IF(dos_lados="Sí",k_Rwb,1000000000000)))</f>
        <v>0</v>
      </c>
    </row>
    <row r="135" customFormat="false" ht="15" hidden="false" customHeight="false" outlineLevel="0" collapsed="false">
      <c r="A135" s="43" t="s">
        <v>380</v>
      </c>
      <c r="B135" s="43" t="s">
        <v>401</v>
      </c>
      <c r="C135" s="43" t="s">
        <v>52</v>
      </c>
      <c r="D135" s="52" t="n">
        <f aca="false">IF(cp_usar="Sí",D134/k_Rcp,0)</f>
        <v>0</v>
      </c>
      <c r="E135" s="52" t="n">
        <f aca="false">IF(cp_usar="Sí",E134/k_Rcp,0)</f>
        <v>0</v>
      </c>
      <c r="F135" s="52" t="n">
        <f aca="false">IF(cp_usar="Sí",F134/k_Rcp,0)</f>
        <v>0</v>
      </c>
      <c r="G135" s="52" t="n">
        <f aca="false">IF(cp_usar="Sí",G134/k_Rcp,0)</f>
        <v>0</v>
      </c>
      <c r="H135" s="52" t="n">
        <f aca="false">IF(cp_usar="Sí",H134/k_Rcp,0)</f>
        <v>0</v>
      </c>
      <c r="I135" s="52" t="n">
        <f aca="false">IF(cp_usar="Sí",I134/k_Rcp,0)</f>
        <v>0</v>
      </c>
      <c r="J135" s="52" t="n">
        <f aca="false">IF(cp_usar="Sí",J134/k_Rcp,0)</f>
        <v>0</v>
      </c>
      <c r="K135" s="52" t="n">
        <f aca="false">IF(cp_usar="Sí",K134/k_Rcp,0)</f>
        <v>0</v>
      </c>
      <c r="L135" s="52" t="n">
        <f aca="false">IF(cp_usar="Sí",L134/k_Rcp,0)</f>
        <v>0</v>
      </c>
      <c r="M135" s="52" t="n">
        <f aca="false">IF(cp_usar="Sí",M134/k_Rcp,0)</f>
        <v>0</v>
      </c>
    </row>
    <row r="136" customFormat="false" ht="15" hidden="false" customHeight="false" outlineLevel="0" collapsed="false">
      <c r="A136" s="43" t="s">
        <v>402</v>
      </c>
      <c r="B136" s="43" t="s">
        <v>403</v>
      </c>
      <c r="C136" s="43" t="s">
        <v>266</v>
      </c>
      <c r="D136" s="50" t="n">
        <f aca="false">IF(k_seis=1,D112*IF(dos_lados="Sí",2,1),D112+IF(dos_lados="Sí",ABS(Mu_op)*100000*D111,0))/(k_d-k_tf)</f>
        <v>24484.5360824742</v>
      </c>
      <c r="E136" s="50" t="n">
        <f aca="false">IF(k_seis=1,E112*IF(dos_lados="Sí",2,1),E112+IF(dos_lados="Sí",ABS(Mu_op)*100000*E111,0))/(k_d-k_tf)</f>
        <v>36082.4742268041</v>
      </c>
      <c r="F136" s="50" t="n">
        <f aca="false">IF(k_seis=1,F112*IF(dos_lados="Sí",2,1),F112+IF(dos_lados="Sí",ABS(Mu_op)*100000*F111,0))/(k_d-k_tf)</f>
        <v>29639.175257732</v>
      </c>
      <c r="G136" s="50" t="n">
        <f aca="false">IF(k_seis=1,G112*IF(dos_lados="Sí",2,1),G112+IF(dos_lados="Sí",ABS(Mu_op)*100000*G111,0))/(k_d-k_tf)</f>
        <v>20618.5567010309</v>
      </c>
      <c r="H136" s="50" t="n">
        <f aca="false">IF(k_seis=1,H112*IF(dos_lados="Sí",2,1),H112+IF(dos_lados="Sí",ABS(Mu_op)*100000*H111,0))/(k_d-k_tf)</f>
        <v>0</v>
      </c>
      <c r="I136" s="50" t="n">
        <f aca="false">IF(k_seis=1,I112*IF(dos_lados="Sí",2,1),I112+IF(dos_lados="Sí",ABS(Mu_op)*100000*I111,0))/(k_d-k_tf)</f>
        <v>0</v>
      </c>
      <c r="J136" s="50" t="n">
        <f aca="false">IF(k_seis=1,J112*IF(dos_lados="Sí",2,1),J112+IF(dos_lados="Sí",ABS(Mu_op)*100000*J111,0))/(k_d-k_tf)</f>
        <v>0</v>
      </c>
      <c r="K136" s="50" t="n">
        <f aca="false">IF(k_seis=1,K112*IF(dos_lados="Sí",2,1),K112+IF(dos_lados="Sí",ABS(Mu_op)*100000*K111,0))/(k_d-k_tf)</f>
        <v>0</v>
      </c>
      <c r="L136" s="50" t="n">
        <f aca="false">IF(k_seis=1,L112*IF(dos_lados="Sí",2,1),L112+IF(dos_lados="Sí",ABS(Mu_op)*100000*L111,0))/(k_d-k_tf)</f>
        <v>0</v>
      </c>
      <c r="M136" s="50" t="n">
        <f aca="false">IF(k_seis=1,M112*IF(dos_lados="Sí",2,1),M112+IF(dos_lados="Sí",ABS(Mu_op)*100000*M111,0))/(k_d-k_tf)</f>
        <v>0</v>
      </c>
    </row>
    <row r="137" customFormat="false" ht="15" hidden="false" customHeight="false" outlineLevel="0" collapsed="false">
      <c r="A137" s="43" t="s">
        <v>380</v>
      </c>
      <c r="B137" s="43" t="s">
        <v>404</v>
      </c>
      <c r="C137" s="43" t="s">
        <v>52</v>
      </c>
      <c r="D137" s="52" t="n">
        <f aca="false">D136/k_Rpz</f>
        <v>0.257989948711598</v>
      </c>
      <c r="E137" s="52" t="n">
        <f aca="false">E136/k_Rpz</f>
        <v>0.380195713890776</v>
      </c>
      <c r="F137" s="52" t="n">
        <f aca="false">F136/k_Rpz</f>
        <v>0.312303622124566</v>
      </c>
      <c r="G137" s="52" t="n">
        <f aca="false">G136/k_Rpz</f>
        <v>0.217254693651872</v>
      </c>
      <c r="H137" s="52" t="n">
        <f aca="false">H136/k_Rpz</f>
        <v>0</v>
      </c>
      <c r="I137" s="52" t="n">
        <f aca="false">I136/k_Rpz</f>
        <v>0</v>
      </c>
      <c r="J137" s="52" t="n">
        <f aca="false">J136/k_Rpz</f>
        <v>0</v>
      </c>
      <c r="K137" s="52" t="n">
        <f aca="false">K136/k_Rpz</f>
        <v>0</v>
      </c>
      <c r="L137" s="52" t="n">
        <f aca="false">L136/k_Rpz</f>
        <v>0</v>
      </c>
      <c r="M137" s="52" t="n">
        <f aca="false">M136/k_Rpz</f>
        <v>0</v>
      </c>
    </row>
    <row r="138" customFormat="false" ht="15" hidden="false" customHeight="false" outlineLevel="0" collapsed="false">
      <c r="A138" s="43" t="s">
        <v>405</v>
      </c>
      <c r="B138" s="43" t="s">
        <v>158</v>
      </c>
      <c r="C138" s="43" t="s">
        <v>52</v>
      </c>
      <c r="D138" s="52" t="n">
        <f aca="false">MAX(D116,D118,D120,D121,D122,D123,D124,D125,D126,D127,D129,D131,D132,D133,D135,D137)</f>
        <v>0.868623983847918</v>
      </c>
      <c r="E138" s="52" t="n">
        <f aca="false">MAX(E116,E118,E120,E121,E122,E123,E124,E125,E126,E127,E129,E131,E132,E133,E135,E137)</f>
        <v>0.868623983847918</v>
      </c>
      <c r="F138" s="52" t="n">
        <f aca="false">MAX(F116,F118,F120,F121,F122,F123,F124,F125,F126,F127,F129,F131,F132,F133,F135,F137)</f>
        <v>0.868623983847918</v>
      </c>
      <c r="G138" s="52" t="n">
        <f aca="false">MAX(G116,G118,G120,G121,G122,G123,G124,G125,G126,G127,G129,G131,G132,G133,G135,G137)</f>
        <v>0.868623983847918</v>
      </c>
      <c r="H138" s="52" t="n">
        <f aca="false">MAX(H116,H118,H120,H121,H122,H123,H124,H125,H126,H127,H129,H131,H132,H133,H135,H137)</f>
        <v>0</v>
      </c>
      <c r="I138" s="52" t="n">
        <f aca="false">MAX(I116,I118,I120,I121,I122,I123,I124,I125,I126,I127,I129,I131,I132,I133,I135,I137)</f>
        <v>0</v>
      </c>
      <c r="J138" s="52" t="n">
        <f aca="false">MAX(J116,J118,J120,J121,J122,J123,J124,J125,J126,J127,J129,J131,J132,J133,J135,J137)</f>
        <v>0</v>
      </c>
      <c r="K138" s="52" t="n">
        <f aca="false">MAX(K116,K118,K120,K121,K122,K123,K124,K125,K126,K127,K129,K131,K132,K133,K135,K137)</f>
        <v>0</v>
      </c>
      <c r="L138" s="52" t="n">
        <f aca="false">MAX(L116,L118,L120,L121,L122,L123,L124,L125,L126,L127,L129,L131,L132,L133,L135,L137)</f>
        <v>0</v>
      </c>
      <c r="M138" s="52" t="n">
        <f aca="false">MAX(M116,M118,M120,M121,M122,M123,M124,M125,M126,M127,M129,M131,M132,M133,M135,M137)</f>
        <v>0</v>
      </c>
    </row>
  </sheetData>
  <mergeCells count="8">
    <mergeCell ref="A4:M4"/>
    <mergeCell ref="A36:M36"/>
    <mergeCell ref="A42:M42"/>
    <mergeCell ref="A64:M64"/>
    <mergeCell ref="A70:M70"/>
    <mergeCell ref="A88:M88"/>
    <mergeCell ref="A95:M95"/>
    <mergeCell ref="A108:M10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6"/>
    <col collapsed="false" customWidth="true" hidden="false" outlineLevel="0" max="7" min="7" style="0" width="18"/>
    <col collapsed="false" customWidth="true" hidden="false" outlineLevel="0" max="11" min="8" style="0" width="6"/>
    <col collapsed="false" customWidth="true" hidden="false" outlineLevel="0" max="13" min="13" style="0" width="12"/>
    <col collapsed="false" customWidth="true" hidden="false" outlineLevel="0" max="18" min="18" style="0" width="22"/>
    <col collapsed="false" customWidth="true" hidden="false" outlineLevel="0" max="23" min="22" style="0" width="8"/>
    <col collapsed="false" customWidth="true" hidden="false" outlineLevel="0" max="24" min="24" style="0" width="12"/>
    <col collapsed="false" customWidth="true" hidden="false" outlineLevel="0" max="26" min="26" style="0" width="12"/>
    <col collapsed="false" customWidth="true" hidden="false" outlineLevel="0" max="29" min="29" style="0" width="7"/>
    <col collapsed="false" customWidth="true" hidden="false" outlineLevel="0" max="31" min="31" style="0" width="7"/>
    <col collapsed="false" customWidth="true" hidden="false" outlineLevel="0" max="33" min="33" style="0" width="18"/>
    <col collapsed="false" customWidth="true" hidden="false" outlineLevel="0" max="37" min="37" style="0" width="16"/>
    <col collapsed="false" customWidth="true" hidden="false" outlineLevel="0" max="38" min="38" style="0" width="5"/>
  </cols>
  <sheetData>
    <row r="1" customFormat="false" ht="15" hidden="false" customHeight="false" outlineLevel="0" collapsed="false">
      <c r="A1" s="54" t="s">
        <v>406</v>
      </c>
    </row>
    <row r="3" customFormat="false" ht="15" hidden="false" customHeight="false" outlineLevel="0" collapsed="false">
      <c r="A3" s="55" t="s">
        <v>407</v>
      </c>
      <c r="G3" s="55" t="s">
        <v>408</v>
      </c>
      <c r="M3" s="55" t="s">
        <v>409</v>
      </c>
      <c r="R3" s="55" t="s">
        <v>410</v>
      </c>
      <c r="V3" s="55" t="s">
        <v>411</v>
      </c>
      <c r="Z3" s="55" t="s">
        <v>179</v>
      </c>
      <c r="AC3" s="55" t="s">
        <v>412</v>
      </c>
      <c r="AE3" s="55" t="s">
        <v>413</v>
      </c>
      <c r="AG3" s="55" t="s">
        <v>27</v>
      </c>
      <c r="AI3" s="55" t="s">
        <v>414</v>
      </c>
      <c r="AK3" s="55" t="s">
        <v>415</v>
      </c>
    </row>
    <row r="4" customFormat="false" ht="15" hidden="false" customHeight="false" outlineLevel="0" collapsed="false">
      <c r="A4" s="56" t="s">
        <v>416</v>
      </c>
      <c r="B4" s="56" t="s">
        <v>197</v>
      </c>
      <c r="C4" s="56" t="s">
        <v>417</v>
      </c>
      <c r="D4" s="56" t="s">
        <v>418</v>
      </c>
      <c r="E4" s="56" t="s">
        <v>419</v>
      </c>
      <c r="G4" s="56" t="s">
        <v>420</v>
      </c>
      <c r="H4" s="56" t="s">
        <v>197</v>
      </c>
      <c r="I4" s="56" t="s">
        <v>417</v>
      </c>
      <c r="J4" s="56" t="s">
        <v>418</v>
      </c>
      <c r="K4" s="56" t="s">
        <v>419</v>
      </c>
      <c r="M4" s="56" t="s">
        <v>55</v>
      </c>
      <c r="N4" s="56" t="s">
        <v>59</v>
      </c>
      <c r="O4" s="56" t="s">
        <v>63</v>
      </c>
      <c r="P4" s="56" t="s">
        <v>421</v>
      </c>
      <c r="R4" s="56" t="s">
        <v>166</v>
      </c>
      <c r="S4" s="56" t="s">
        <v>169</v>
      </c>
      <c r="T4" s="56" t="s">
        <v>171</v>
      </c>
      <c r="V4" s="56" t="s">
        <v>422</v>
      </c>
      <c r="W4" s="56" t="s">
        <v>423</v>
      </c>
      <c r="X4" s="56" t="s">
        <v>424</v>
      </c>
      <c r="Z4" s="56" t="s">
        <v>179</v>
      </c>
      <c r="AA4" s="56" t="s">
        <v>305</v>
      </c>
      <c r="AC4" s="56" t="s">
        <v>425</v>
      </c>
      <c r="AE4" s="56" t="s">
        <v>426</v>
      </c>
      <c r="AG4" s="56" t="s">
        <v>427</v>
      </c>
      <c r="AI4" s="56" t="s">
        <v>428</v>
      </c>
      <c r="AK4" s="56" t="s">
        <v>429</v>
      </c>
      <c r="AL4" s="56" t="s">
        <v>430</v>
      </c>
      <c r="AM4" s="56" t="s">
        <v>431</v>
      </c>
      <c r="AN4" s="56" t="s">
        <v>432</v>
      </c>
      <c r="AO4" s="56" t="s">
        <v>433</v>
      </c>
      <c r="AP4" s="56" t="s">
        <v>434</v>
      </c>
      <c r="AQ4" s="56" t="s">
        <v>435</v>
      </c>
    </row>
    <row r="5" customFormat="false" ht="15" hidden="false" customHeight="false" outlineLevel="0" collapsed="false">
      <c r="A5" s="7" t="s">
        <v>436</v>
      </c>
      <c r="B5" s="7"/>
      <c r="C5" s="7"/>
      <c r="D5" s="7"/>
      <c r="E5" s="7"/>
      <c r="G5" s="7" t="s">
        <v>436</v>
      </c>
      <c r="H5" s="7"/>
      <c r="I5" s="7"/>
      <c r="J5" s="7"/>
      <c r="K5" s="7"/>
      <c r="M5" s="7" t="s">
        <v>437</v>
      </c>
      <c r="N5" s="7" t="n">
        <v>2530</v>
      </c>
      <c r="O5" s="7" t="n">
        <v>4080</v>
      </c>
      <c r="P5" s="7" t="n">
        <v>1.5</v>
      </c>
      <c r="R5" s="7" t="s">
        <v>167</v>
      </c>
      <c r="S5" s="7" t="n">
        <v>6328</v>
      </c>
      <c r="T5" s="7" t="n">
        <v>3797</v>
      </c>
      <c r="V5" s="7" t="s">
        <v>438</v>
      </c>
      <c r="W5" s="7" t="n">
        <v>0.625</v>
      </c>
      <c r="X5" s="7" t="n">
        <v>0.875</v>
      </c>
      <c r="Z5" s="7" t="s">
        <v>439</v>
      </c>
      <c r="AA5" s="7" t="n">
        <v>4220</v>
      </c>
      <c r="AC5" s="7" t="s">
        <v>122</v>
      </c>
      <c r="AE5" s="7" t="s">
        <v>25</v>
      </c>
      <c r="AG5" s="7" t="s">
        <v>28</v>
      </c>
      <c r="AI5" s="7" t="n">
        <v>8</v>
      </c>
      <c r="AK5" s="7" t="s">
        <v>203</v>
      </c>
      <c r="AL5" s="7" t="n">
        <v>0.375</v>
      </c>
      <c r="AM5" s="7" t="n">
        <v>0.75</v>
      </c>
      <c r="AN5" s="7" t="n">
        <v>0.375</v>
      </c>
      <c r="AO5" s="7" t="n">
        <v>0.75</v>
      </c>
      <c r="AP5" s="7" t="n">
        <v>0.5625</v>
      </c>
      <c r="AQ5" s="7" t="n">
        <v>1</v>
      </c>
    </row>
    <row r="6" customFormat="false" ht="15" hidden="false" customHeight="false" outlineLevel="0" collapsed="false">
      <c r="A6" s="7" t="s">
        <v>440</v>
      </c>
      <c r="B6" s="7" t="n">
        <v>180</v>
      </c>
      <c r="C6" s="7" t="n">
        <v>100</v>
      </c>
      <c r="D6" s="7" t="n">
        <v>4</v>
      </c>
      <c r="E6" s="7" t="n">
        <v>6</v>
      </c>
      <c r="G6" s="7" t="s">
        <v>441</v>
      </c>
      <c r="H6" s="7" t="n">
        <v>200</v>
      </c>
      <c r="I6" s="7" t="n">
        <v>140</v>
      </c>
      <c r="J6" s="7" t="n">
        <v>6</v>
      </c>
      <c r="K6" s="7" t="n">
        <v>12</v>
      </c>
      <c r="M6" s="7" t="s">
        <v>56</v>
      </c>
      <c r="N6" s="7" t="n">
        <v>3515</v>
      </c>
      <c r="O6" s="7" t="n">
        <v>4570</v>
      </c>
      <c r="P6" s="7" t="n">
        <v>1.1</v>
      </c>
      <c r="R6" s="7" t="s">
        <v>442</v>
      </c>
      <c r="S6" s="7" t="n">
        <v>6328</v>
      </c>
      <c r="T6" s="7" t="n">
        <v>4781</v>
      </c>
      <c r="V6" s="7" t="s">
        <v>443</v>
      </c>
      <c r="W6" s="7" t="n">
        <v>0.75</v>
      </c>
      <c r="X6" s="7" t="n">
        <v>1</v>
      </c>
      <c r="Z6" s="7" t="s">
        <v>180</v>
      </c>
      <c r="AA6" s="7" t="n">
        <v>4920</v>
      </c>
      <c r="AC6" s="7" t="s">
        <v>110</v>
      </c>
      <c r="AE6" s="7" t="s">
        <v>444</v>
      </c>
      <c r="AG6" s="7" t="s">
        <v>445</v>
      </c>
      <c r="AI6" s="7" t="n">
        <v>10</v>
      </c>
      <c r="AK6" s="7" t="s">
        <v>199</v>
      </c>
      <c r="AL6" s="7" t="n">
        <v>6</v>
      </c>
      <c r="AM6" s="7" t="n">
        <v>9.25</v>
      </c>
      <c r="AN6" s="7" t="n">
        <v>6</v>
      </c>
      <c r="AO6" s="7" t="n">
        <v>9</v>
      </c>
      <c r="AP6" s="7" t="n">
        <v>7.5</v>
      </c>
      <c r="AQ6" s="7" t="n">
        <v>12.25</v>
      </c>
    </row>
    <row r="7" customFormat="false" ht="15" hidden="false" customHeight="false" outlineLevel="0" collapsed="false">
      <c r="A7" s="7" t="s">
        <v>446</v>
      </c>
      <c r="B7" s="7" t="n">
        <v>200</v>
      </c>
      <c r="C7" s="7" t="n">
        <v>100</v>
      </c>
      <c r="D7" s="7" t="n">
        <v>4</v>
      </c>
      <c r="E7" s="7" t="n">
        <v>8</v>
      </c>
      <c r="G7" s="7" t="s">
        <v>447</v>
      </c>
      <c r="H7" s="7" t="n">
        <v>220</v>
      </c>
      <c r="I7" s="7" t="n">
        <v>160</v>
      </c>
      <c r="J7" s="7" t="n">
        <v>6</v>
      </c>
      <c r="K7" s="7" t="n">
        <v>12</v>
      </c>
      <c r="M7" s="7" t="s">
        <v>448</v>
      </c>
      <c r="N7" s="7" t="n">
        <v>3515</v>
      </c>
      <c r="O7" s="7" t="n">
        <v>4570</v>
      </c>
      <c r="P7" s="7" t="n">
        <v>1.1</v>
      </c>
      <c r="R7" s="7" t="s">
        <v>449</v>
      </c>
      <c r="S7" s="7" t="n">
        <v>7945</v>
      </c>
      <c r="T7" s="7" t="n">
        <v>4781</v>
      </c>
      <c r="V7" s="7" t="s">
        <v>174</v>
      </c>
      <c r="W7" s="7" t="n">
        <v>0.875</v>
      </c>
      <c r="X7" s="7" t="n">
        <v>1.125</v>
      </c>
      <c r="AE7" s="7" t="s">
        <v>192</v>
      </c>
      <c r="AI7" s="7" t="n">
        <v>12</v>
      </c>
      <c r="AK7" s="7" t="s">
        <v>197</v>
      </c>
      <c r="AL7" s="7" t="n">
        <v>13.75</v>
      </c>
      <c r="AM7" s="7" t="n">
        <v>55</v>
      </c>
      <c r="AN7" s="7" t="n">
        <v>13.75</v>
      </c>
      <c r="AO7" s="7" t="n">
        <v>24</v>
      </c>
      <c r="AP7" s="7" t="n">
        <v>18.5</v>
      </c>
      <c r="AQ7" s="7" t="n">
        <v>62</v>
      </c>
    </row>
    <row r="8" customFormat="false" ht="15" hidden="false" customHeight="false" outlineLevel="0" collapsed="false">
      <c r="A8" s="7" t="s">
        <v>450</v>
      </c>
      <c r="B8" s="7" t="n">
        <v>220</v>
      </c>
      <c r="C8" s="7" t="n">
        <v>110</v>
      </c>
      <c r="D8" s="7" t="n">
        <v>4</v>
      </c>
      <c r="E8" s="7" t="n">
        <v>8</v>
      </c>
      <c r="G8" s="7" t="s">
        <v>451</v>
      </c>
      <c r="H8" s="7" t="n">
        <v>240</v>
      </c>
      <c r="I8" s="7" t="n">
        <v>180</v>
      </c>
      <c r="J8" s="7" t="n">
        <v>6</v>
      </c>
      <c r="K8" s="7" t="n">
        <v>12</v>
      </c>
      <c r="M8" s="7" t="s">
        <v>452</v>
      </c>
      <c r="N8" s="7" t="n">
        <v>3515</v>
      </c>
      <c r="O8" s="7" t="n">
        <v>4920</v>
      </c>
      <c r="P8" s="7" t="n">
        <v>1.1</v>
      </c>
      <c r="R8" s="7" t="s">
        <v>453</v>
      </c>
      <c r="S8" s="7" t="n">
        <v>7945</v>
      </c>
      <c r="T8" s="7" t="n">
        <v>5906</v>
      </c>
      <c r="V8" s="7" t="s">
        <v>454</v>
      </c>
      <c r="W8" s="7" t="n">
        <v>1</v>
      </c>
      <c r="X8" s="7" t="n">
        <v>1.25</v>
      </c>
      <c r="AI8" s="7" t="n">
        <v>15</v>
      </c>
      <c r="AK8" s="7" t="s">
        <v>227</v>
      </c>
      <c r="AL8" s="7" t="n">
        <v>0.5</v>
      </c>
      <c r="AM8" s="7" t="n">
        <v>2.25</v>
      </c>
      <c r="AN8" s="7" t="n">
        <v>0.5</v>
      </c>
      <c r="AO8" s="7" t="n">
        <v>1.5</v>
      </c>
      <c r="AP8" s="7" t="n">
        <v>0.75</v>
      </c>
      <c r="AQ8" s="7" t="n">
        <v>2.5</v>
      </c>
    </row>
    <row r="9" customFormat="false" ht="15" hidden="false" customHeight="false" outlineLevel="0" collapsed="false">
      <c r="A9" s="7" t="s">
        <v>455</v>
      </c>
      <c r="B9" s="7" t="n">
        <v>250</v>
      </c>
      <c r="C9" s="7" t="n">
        <v>130</v>
      </c>
      <c r="D9" s="7" t="n">
        <v>4</v>
      </c>
      <c r="E9" s="7" t="n">
        <v>8</v>
      </c>
      <c r="G9" s="7" t="s">
        <v>456</v>
      </c>
      <c r="H9" s="7" t="n">
        <v>260</v>
      </c>
      <c r="I9" s="7" t="n">
        <v>180</v>
      </c>
      <c r="J9" s="7" t="n">
        <v>6</v>
      </c>
      <c r="K9" s="7" t="n">
        <v>12</v>
      </c>
      <c r="V9" s="7" t="s">
        <v>457</v>
      </c>
      <c r="W9" s="7" t="n">
        <v>1.125</v>
      </c>
      <c r="X9" s="7" t="n">
        <v>1.5</v>
      </c>
      <c r="AI9" s="7" t="n">
        <v>16</v>
      </c>
      <c r="AK9" s="7" t="s">
        <v>223</v>
      </c>
      <c r="AL9" s="7" t="n">
        <v>7</v>
      </c>
      <c r="AM9" s="7" t="n">
        <v>10.75</v>
      </c>
      <c r="AN9" s="7" t="n">
        <v>10.75</v>
      </c>
      <c r="AO9" s="7" t="n">
        <v>12.25</v>
      </c>
      <c r="AP9" s="7" t="n">
        <v>9</v>
      </c>
      <c r="AQ9" s="7" t="n">
        <v>15</v>
      </c>
    </row>
    <row r="10" customFormat="false" ht="15" hidden="false" customHeight="false" outlineLevel="0" collapsed="false">
      <c r="A10" s="7" t="s">
        <v>458</v>
      </c>
      <c r="B10" s="7" t="n">
        <v>270</v>
      </c>
      <c r="C10" s="7" t="n">
        <v>140</v>
      </c>
      <c r="D10" s="7" t="n">
        <v>4</v>
      </c>
      <c r="E10" s="7" t="n">
        <v>8</v>
      </c>
      <c r="G10" s="7" t="s">
        <v>459</v>
      </c>
      <c r="H10" s="7" t="n">
        <v>280</v>
      </c>
      <c r="I10" s="7" t="n">
        <v>180</v>
      </c>
      <c r="J10" s="7" t="n">
        <v>6</v>
      </c>
      <c r="K10" s="7" t="n">
        <v>12</v>
      </c>
      <c r="V10" s="7" t="s">
        <v>460</v>
      </c>
      <c r="W10" s="7" t="n">
        <v>1.25</v>
      </c>
      <c r="X10" s="7" t="n">
        <v>1.625</v>
      </c>
      <c r="AI10" s="7" t="n">
        <v>19</v>
      </c>
      <c r="AK10" s="7" t="s">
        <v>229</v>
      </c>
      <c r="AL10" s="7" t="n">
        <v>4</v>
      </c>
      <c r="AM10" s="7" t="n">
        <v>6</v>
      </c>
      <c r="AN10" s="7" t="n">
        <v>3.25</v>
      </c>
      <c r="AO10" s="7" t="n">
        <v>6</v>
      </c>
      <c r="AP10" s="7" t="n">
        <v>5</v>
      </c>
      <c r="AQ10" s="7" t="n">
        <v>6</v>
      </c>
    </row>
    <row r="11" customFormat="false" ht="15" hidden="false" customHeight="false" outlineLevel="0" collapsed="false">
      <c r="A11" s="7" t="s">
        <v>461</v>
      </c>
      <c r="B11" s="7" t="n">
        <v>300</v>
      </c>
      <c r="C11" s="7" t="n">
        <v>150</v>
      </c>
      <c r="D11" s="7" t="n">
        <v>4</v>
      </c>
      <c r="E11" s="7" t="n">
        <v>10</v>
      </c>
      <c r="G11" s="7" t="s">
        <v>462</v>
      </c>
      <c r="H11" s="7" t="n">
        <v>300</v>
      </c>
      <c r="I11" s="7" t="n">
        <v>180</v>
      </c>
      <c r="J11" s="7" t="n">
        <v>6</v>
      </c>
      <c r="K11" s="7" t="n">
        <v>12</v>
      </c>
      <c r="V11" s="7" t="s">
        <v>463</v>
      </c>
      <c r="W11" s="7" t="n">
        <v>1.375</v>
      </c>
      <c r="X11" s="7" t="n">
        <v>1.719</v>
      </c>
      <c r="AI11" s="7" t="n">
        <v>20</v>
      </c>
      <c r="AK11" s="7" t="s">
        <v>233</v>
      </c>
      <c r="AL11" s="7" t="n">
        <v>1.5</v>
      </c>
      <c r="AM11" s="7" t="n">
        <v>4.5</v>
      </c>
      <c r="AN11" s="7" t="n">
        <v>1.625</v>
      </c>
      <c r="AO11" s="7" t="n">
        <v>5.5</v>
      </c>
      <c r="AP11" s="7" t="n">
        <v>1.625</v>
      </c>
      <c r="AQ11" s="7" t="n">
        <v>2</v>
      </c>
    </row>
    <row r="12" customFormat="false" ht="15" hidden="false" customHeight="false" outlineLevel="0" collapsed="false">
      <c r="A12" s="7" t="s">
        <v>464</v>
      </c>
      <c r="B12" s="7" t="n">
        <v>330</v>
      </c>
      <c r="C12" s="7" t="n">
        <v>160</v>
      </c>
      <c r="D12" s="7" t="n">
        <v>6</v>
      </c>
      <c r="E12" s="7" t="n">
        <v>10</v>
      </c>
      <c r="G12" s="7" t="s">
        <v>465</v>
      </c>
      <c r="H12" s="7" t="n">
        <v>320</v>
      </c>
      <c r="I12" s="7" t="n">
        <v>180</v>
      </c>
      <c r="J12" s="7" t="n">
        <v>6</v>
      </c>
      <c r="K12" s="7" t="n">
        <v>12</v>
      </c>
      <c r="V12" s="7" t="s">
        <v>466</v>
      </c>
      <c r="W12" s="7" t="n">
        <v>1.5</v>
      </c>
      <c r="X12" s="7" t="n">
        <v>1.875</v>
      </c>
      <c r="AI12" s="7" t="n">
        <v>22</v>
      </c>
      <c r="AK12" s="7" t="s">
        <v>231</v>
      </c>
      <c r="AL12" s="7" t="n">
        <v>1.5</v>
      </c>
      <c r="AM12" s="7" t="n">
        <v>4.5</v>
      </c>
      <c r="AN12" s="7" t="n">
        <v>1.625</v>
      </c>
      <c r="AO12" s="7" t="n">
        <v>5.5</v>
      </c>
      <c r="AP12" s="7" t="n">
        <v>1.625</v>
      </c>
      <c r="AQ12" s="7" t="n">
        <v>2</v>
      </c>
    </row>
    <row r="13" customFormat="false" ht="15" hidden="false" customHeight="false" outlineLevel="0" collapsed="false">
      <c r="A13" s="7" t="s">
        <v>467</v>
      </c>
      <c r="B13" s="7" t="n">
        <v>360</v>
      </c>
      <c r="C13" s="7" t="n">
        <v>180</v>
      </c>
      <c r="D13" s="7" t="n">
        <v>6</v>
      </c>
      <c r="E13" s="7" t="n">
        <v>10</v>
      </c>
      <c r="G13" s="7" t="s">
        <v>468</v>
      </c>
      <c r="H13" s="7" t="n">
        <v>340</v>
      </c>
      <c r="I13" s="7" t="n">
        <v>180</v>
      </c>
      <c r="J13" s="7" t="n">
        <v>6</v>
      </c>
      <c r="K13" s="7" t="n">
        <v>12</v>
      </c>
      <c r="AI13" s="7" t="n">
        <v>25</v>
      </c>
      <c r="AK13" s="7" t="s">
        <v>235</v>
      </c>
      <c r="AL13" s="7"/>
      <c r="AM13" s="7"/>
      <c r="AN13" s="7"/>
      <c r="AO13" s="7"/>
      <c r="AP13" s="7" t="n">
        <v>3.5</v>
      </c>
      <c r="AQ13" s="7" t="n">
        <v>3.75</v>
      </c>
    </row>
    <row r="14" customFormat="false" ht="15" hidden="false" customHeight="false" outlineLevel="0" collapsed="false">
      <c r="A14" s="7" t="s">
        <v>469</v>
      </c>
      <c r="B14" s="7" t="n">
        <v>380</v>
      </c>
      <c r="C14" s="7" t="n">
        <v>180</v>
      </c>
      <c r="D14" s="7" t="n">
        <v>6</v>
      </c>
      <c r="E14" s="7" t="n">
        <v>10</v>
      </c>
      <c r="G14" s="7" t="s">
        <v>470</v>
      </c>
      <c r="H14" s="7" t="n">
        <v>360</v>
      </c>
      <c r="I14" s="7" t="n">
        <v>180</v>
      </c>
      <c r="J14" s="7" t="n">
        <v>6</v>
      </c>
      <c r="K14" s="7" t="n">
        <v>12</v>
      </c>
      <c r="AI14" s="7" t="n">
        <v>28</v>
      </c>
    </row>
    <row r="15" customFormat="false" ht="15" hidden="false" customHeight="false" outlineLevel="0" collapsed="false">
      <c r="A15" s="7" t="s">
        <v>471</v>
      </c>
      <c r="B15" s="7" t="n">
        <v>400</v>
      </c>
      <c r="C15" s="7" t="n">
        <v>180</v>
      </c>
      <c r="D15" s="7" t="n">
        <v>6</v>
      </c>
      <c r="E15" s="7" t="n">
        <v>10</v>
      </c>
      <c r="G15" s="7" t="s">
        <v>472</v>
      </c>
      <c r="H15" s="7" t="n">
        <v>380</v>
      </c>
      <c r="I15" s="7" t="n">
        <v>200</v>
      </c>
      <c r="J15" s="7" t="n">
        <v>8</v>
      </c>
      <c r="K15" s="7" t="n">
        <v>15</v>
      </c>
      <c r="AI15" s="7" t="n">
        <v>30</v>
      </c>
    </row>
    <row r="16" customFormat="false" ht="15" hidden="false" customHeight="false" outlineLevel="0" collapsed="false">
      <c r="A16" s="7" t="s">
        <v>36</v>
      </c>
      <c r="B16" s="7" t="n">
        <v>400</v>
      </c>
      <c r="C16" s="7" t="n">
        <v>180</v>
      </c>
      <c r="D16" s="7" t="n">
        <v>6</v>
      </c>
      <c r="E16" s="7" t="n">
        <v>12</v>
      </c>
      <c r="G16" s="7" t="s">
        <v>473</v>
      </c>
      <c r="H16" s="7" t="n">
        <v>400</v>
      </c>
      <c r="I16" s="7" t="n">
        <v>200</v>
      </c>
      <c r="J16" s="7" t="n">
        <v>8</v>
      </c>
      <c r="K16" s="7" t="n">
        <v>15</v>
      </c>
      <c r="AI16" s="7" t="n">
        <v>32</v>
      </c>
    </row>
    <row r="17" customFormat="false" ht="15" hidden="false" customHeight="false" outlineLevel="0" collapsed="false">
      <c r="A17" s="7" t="s">
        <v>474</v>
      </c>
      <c r="B17" s="7" t="n">
        <v>420</v>
      </c>
      <c r="C17" s="7" t="n">
        <v>180</v>
      </c>
      <c r="D17" s="7" t="n">
        <v>6</v>
      </c>
      <c r="E17" s="7" t="n">
        <v>12</v>
      </c>
      <c r="G17" s="7" t="s">
        <v>475</v>
      </c>
      <c r="H17" s="7" t="n">
        <v>420</v>
      </c>
      <c r="I17" s="7" t="n">
        <v>210</v>
      </c>
      <c r="J17" s="7" t="n">
        <v>8</v>
      </c>
      <c r="K17" s="7" t="n">
        <v>15</v>
      </c>
      <c r="AI17" s="7" t="n">
        <v>35</v>
      </c>
    </row>
    <row r="18" customFormat="false" ht="15" hidden="false" customHeight="false" outlineLevel="0" collapsed="false">
      <c r="A18" s="7" t="s">
        <v>476</v>
      </c>
      <c r="B18" s="7" t="n">
        <v>440</v>
      </c>
      <c r="C18" s="7" t="n">
        <v>180</v>
      </c>
      <c r="D18" s="7" t="n">
        <v>6</v>
      </c>
      <c r="E18" s="7" t="n">
        <v>12</v>
      </c>
      <c r="G18" s="7" t="s">
        <v>477</v>
      </c>
      <c r="H18" s="7" t="n">
        <v>440</v>
      </c>
      <c r="I18" s="7" t="n">
        <v>220</v>
      </c>
      <c r="J18" s="7" t="n">
        <v>8</v>
      </c>
      <c r="K18" s="7" t="n">
        <v>15</v>
      </c>
      <c r="AI18" s="7" t="n">
        <v>38</v>
      </c>
    </row>
    <row r="19" customFormat="false" ht="15" hidden="false" customHeight="false" outlineLevel="0" collapsed="false">
      <c r="A19" s="7" t="s">
        <v>478</v>
      </c>
      <c r="B19" s="7" t="n">
        <v>310</v>
      </c>
      <c r="C19" s="7" t="n">
        <v>165</v>
      </c>
      <c r="D19" s="7" t="n">
        <v>5.8</v>
      </c>
      <c r="E19" s="7" t="n">
        <v>9.7</v>
      </c>
      <c r="G19" s="7" t="s">
        <v>479</v>
      </c>
      <c r="H19" s="7" t="n">
        <v>460</v>
      </c>
      <c r="I19" s="7" t="n">
        <v>230</v>
      </c>
      <c r="J19" s="7" t="n">
        <v>8</v>
      </c>
      <c r="K19" s="7" t="n">
        <v>15</v>
      </c>
      <c r="AI19" s="7" t="n">
        <v>40</v>
      </c>
    </row>
    <row r="20" customFormat="false" ht="15" hidden="false" customHeight="false" outlineLevel="0" collapsed="false">
      <c r="A20" s="7" t="s">
        <v>480</v>
      </c>
      <c r="B20" s="7" t="n">
        <v>351</v>
      </c>
      <c r="C20" s="7" t="n">
        <v>171</v>
      </c>
      <c r="D20" s="7" t="n">
        <v>6.9</v>
      </c>
      <c r="E20" s="7" t="n">
        <v>9.8</v>
      </c>
      <c r="G20" s="7" t="s">
        <v>481</v>
      </c>
      <c r="H20" s="7" t="n">
        <v>480</v>
      </c>
      <c r="I20" s="7" t="n">
        <v>240</v>
      </c>
      <c r="J20" s="7" t="n">
        <v>8</v>
      </c>
      <c r="K20" s="7" t="n">
        <v>15</v>
      </c>
      <c r="AI20" s="7" t="n">
        <v>45</v>
      </c>
    </row>
    <row r="21" customFormat="false" ht="15" hidden="false" customHeight="false" outlineLevel="0" collapsed="false">
      <c r="A21" s="7" t="s">
        <v>482</v>
      </c>
      <c r="B21" s="7" t="n">
        <v>403</v>
      </c>
      <c r="C21" s="7" t="n">
        <v>140</v>
      </c>
      <c r="D21" s="7" t="n">
        <v>7</v>
      </c>
      <c r="E21" s="7" t="n">
        <v>11.2</v>
      </c>
      <c r="G21" s="7" t="s">
        <v>78</v>
      </c>
      <c r="H21" s="7" t="n">
        <v>500</v>
      </c>
      <c r="I21" s="7" t="n">
        <v>250</v>
      </c>
      <c r="J21" s="7" t="n">
        <v>10</v>
      </c>
      <c r="K21" s="7" t="n">
        <v>15</v>
      </c>
      <c r="AI21" s="7" t="n">
        <v>50</v>
      </c>
    </row>
    <row r="22" customFormat="false" ht="15" hidden="false" customHeight="false" outlineLevel="0" collapsed="false">
      <c r="A22" s="7" t="s">
        <v>483</v>
      </c>
      <c r="B22" s="7" t="n">
        <v>407</v>
      </c>
      <c r="C22" s="7" t="n">
        <v>178</v>
      </c>
      <c r="D22" s="7" t="n">
        <v>7.7</v>
      </c>
      <c r="E22" s="7" t="n">
        <v>12.8</v>
      </c>
      <c r="G22" s="7" t="s">
        <v>484</v>
      </c>
      <c r="H22" s="7" t="n">
        <v>520</v>
      </c>
      <c r="I22" s="7" t="n">
        <v>260</v>
      </c>
      <c r="J22" s="7" t="n">
        <v>10</v>
      </c>
      <c r="K22" s="7" t="n">
        <v>15</v>
      </c>
      <c r="AI22" s="7" t="n">
        <v>55</v>
      </c>
    </row>
    <row r="23" customFormat="false" ht="15" hidden="false" customHeight="false" outlineLevel="0" collapsed="false">
      <c r="A23" s="7" t="s">
        <v>485</v>
      </c>
      <c r="B23" s="7" t="n">
        <v>450</v>
      </c>
      <c r="C23" s="7" t="n">
        <v>152</v>
      </c>
      <c r="D23" s="7" t="n">
        <v>7.6</v>
      </c>
      <c r="E23" s="7" t="n">
        <v>10.8</v>
      </c>
      <c r="G23" s="7" t="s">
        <v>486</v>
      </c>
      <c r="H23" s="7" t="n">
        <v>540</v>
      </c>
      <c r="I23" s="7" t="n">
        <v>270</v>
      </c>
      <c r="J23" s="7" t="n">
        <v>10</v>
      </c>
      <c r="K23" s="7" t="n">
        <v>15</v>
      </c>
      <c r="AI23" s="7" t="n">
        <v>60</v>
      </c>
    </row>
    <row r="24" customFormat="false" ht="15" hidden="false" customHeight="false" outlineLevel="0" collapsed="false">
      <c r="A24" s="7" t="s">
        <v>487</v>
      </c>
      <c r="B24" s="7" t="n">
        <v>457</v>
      </c>
      <c r="C24" s="7" t="n">
        <v>190</v>
      </c>
      <c r="D24" s="7" t="n">
        <v>9</v>
      </c>
      <c r="E24" s="7" t="n">
        <v>14.5</v>
      </c>
      <c r="G24" s="7" t="s">
        <v>488</v>
      </c>
      <c r="H24" s="7" t="n">
        <v>254</v>
      </c>
      <c r="I24" s="7" t="n">
        <v>254</v>
      </c>
      <c r="J24" s="7" t="n">
        <v>8.6</v>
      </c>
      <c r="K24" s="7" t="n">
        <v>14.2</v>
      </c>
    </row>
    <row r="25" customFormat="false" ht="15" hidden="false" customHeight="false" outlineLevel="0" collapsed="false">
      <c r="A25" s="7" t="s">
        <v>489</v>
      </c>
      <c r="B25" s="7" t="n">
        <v>525</v>
      </c>
      <c r="C25" s="7" t="n">
        <v>165</v>
      </c>
      <c r="D25" s="7" t="n">
        <v>8.9</v>
      </c>
      <c r="E25" s="7" t="n">
        <v>11.4</v>
      </c>
      <c r="G25" s="7" t="s">
        <v>490</v>
      </c>
      <c r="H25" s="7" t="n">
        <v>308</v>
      </c>
      <c r="I25" s="7" t="n">
        <v>305</v>
      </c>
      <c r="J25" s="7" t="n">
        <v>9.9</v>
      </c>
      <c r="K25" s="7" t="n">
        <v>15.4</v>
      </c>
    </row>
    <row r="26" customFormat="false" ht="15" hidden="false" customHeight="false" outlineLevel="0" collapsed="false">
      <c r="A26" s="7" t="s">
        <v>491</v>
      </c>
      <c r="B26" s="7" t="n">
        <v>533</v>
      </c>
      <c r="C26" s="7" t="n">
        <v>209</v>
      </c>
      <c r="D26" s="7" t="n">
        <v>10.2</v>
      </c>
      <c r="E26" s="7" t="n">
        <v>15.6</v>
      </c>
      <c r="G26" s="7" t="s">
        <v>492</v>
      </c>
      <c r="H26" s="7" t="n">
        <v>323</v>
      </c>
      <c r="I26" s="7" t="n">
        <v>310</v>
      </c>
      <c r="J26" s="7" t="n">
        <v>14</v>
      </c>
      <c r="K26" s="7" t="n">
        <v>22.9</v>
      </c>
    </row>
    <row r="27" customFormat="false" ht="15" hidden="false" customHeight="false" outlineLevel="0" collapsed="false">
      <c r="A27" s="7" t="s">
        <v>493</v>
      </c>
      <c r="B27" s="7" t="n">
        <v>599</v>
      </c>
      <c r="C27" s="7" t="n">
        <v>178</v>
      </c>
      <c r="D27" s="7" t="n">
        <v>10</v>
      </c>
      <c r="E27" s="7" t="n">
        <v>12.8</v>
      </c>
      <c r="G27" s="7" t="s">
        <v>494</v>
      </c>
      <c r="H27" s="7" t="n">
        <v>356</v>
      </c>
      <c r="I27" s="7" t="n">
        <v>368</v>
      </c>
      <c r="J27" s="7" t="n">
        <v>11.2</v>
      </c>
      <c r="K27" s="7" t="n">
        <v>18</v>
      </c>
    </row>
    <row r="28" customFormat="false" ht="15" hidden="false" customHeight="false" outlineLevel="0" collapsed="false">
      <c r="A28" s="7" t="s">
        <v>495</v>
      </c>
      <c r="B28" s="7" t="n">
        <v>608</v>
      </c>
      <c r="C28" s="7" t="n">
        <v>228</v>
      </c>
      <c r="D28" s="7" t="n">
        <v>11.2</v>
      </c>
      <c r="E28" s="7" t="n">
        <v>17.3</v>
      </c>
      <c r="G28" s="7" t="s">
        <v>496</v>
      </c>
      <c r="H28" s="7" t="n">
        <v>368</v>
      </c>
      <c r="I28" s="7" t="n">
        <v>373</v>
      </c>
      <c r="J28" s="7" t="n">
        <v>15</v>
      </c>
      <c r="K28" s="7" t="n">
        <v>23.9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57" t="s">
        <v>497</v>
      </c>
    </row>
    <row r="2" customFormat="false" ht="15" hidden="false" customHeight="false" outlineLevel="0" collapsed="false">
      <c r="D2" s="58" t="s">
        <v>498</v>
      </c>
      <c r="G2" s="58" t="s">
        <v>416</v>
      </c>
      <c r="J2" s="58" t="s">
        <v>499</v>
      </c>
      <c r="M2" s="58" t="s">
        <v>500</v>
      </c>
      <c r="P2" s="58" t="s">
        <v>501</v>
      </c>
      <c r="S2" s="58" t="s">
        <v>502</v>
      </c>
      <c r="V2" s="58" t="s">
        <v>420</v>
      </c>
      <c r="Y2" s="58" t="s">
        <v>503</v>
      </c>
      <c r="AB2" s="58" t="s">
        <v>504</v>
      </c>
      <c r="AE2" s="58" t="s">
        <v>505</v>
      </c>
      <c r="AH2" s="58" t="s">
        <v>506</v>
      </c>
      <c r="AK2" s="58" t="s">
        <v>507</v>
      </c>
      <c r="AN2" s="58" t="s">
        <v>508</v>
      </c>
      <c r="AQ2" s="58" t="s">
        <v>509</v>
      </c>
      <c r="AT2" s="58" t="s">
        <v>510</v>
      </c>
      <c r="AW2" s="58" t="s">
        <v>511</v>
      </c>
      <c r="AZ2" s="58" t="s">
        <v>512</v>
      </c>
    </row>
    <row r="3" customFormat="false" ht="15" hidden="false" customHeight="false" outlineLevel="0" collapsed="false">
      <c r="A3" s="0" t="s">
        <v>513</v>
      </c>
      <c r="B3" s="0" t="n">
        <f aca="false">MAX(k_Hp,k_bp)/2*1.08</f>
        <v>30.78</v>
      </c>
    </row>
    <row r="4" customFormat="false" ht="15" hidden="false" customHeight="false" outlineLevel="0" collapsed="false">
      <c r="A4" s="0" t="s">
        <v>514</v>
      </c>
      <c r="B4" s="0" t="n">
        <f aca="false">MAX(1.1*k_d,k_Lst+8)</f>
        <v>44</v>
      </c>
      <c r="D4" s="0" t="n">
        <f aca="false">(-k_bp/2)/dSf</f>
        <v>-0.324886289798571</v>
      </c>
      <c r="E4" s="0" t="n">
        <f aca="false">(-k_Hp/2)/dSf</f>
        <v>-0.925925925925926</v>
      </c>
      <c r="G4" s="0" t="n">
        <f aca="false">(-k_bf/2)/dSf</f>
        <v>-0.292397660818713</v>
      </c>
      <c r="H4" s="0" t="n">
        <f aca="false">(k_d/2)/dSf</f>
        <v>0.649772579597141</v>
      </c>
      <c r="J4" s="0" t="n">
        <f aca="false">(-IF(k_is4E=1,0,st_t/20))/dSf</f>
        <v>-0</v>
      </c>
      <c r="K4" s="0" t="n">
        <f aca="false">(k_d/2)/dSf</f>
        <v>0.649772579597141</v>
      </c>
      <c r="M4" s="0" t="n">
        <f aca="false">(-IF(k_is4E=1,0,st_t/20))/dSf</f>
        <v>-0</v>
      </c>
      <c r="N4" s="0" t="n">
        <f aca="false">(-k_d/2)/dSf</f>
        <v>-0.649772579597141</v>
      </c>
      <c r="P4" s="0" t="n">
        <f aca="false">(-k_g/2)/dSf</f>
        <v>-0.178687459389214</v>
      </c>
      <c r="Q4" s="0" t="n">
        <f aca="false">(k_d/2+k_pfo)/dSf</f>
        <v>0.795971410006498</v>
      </c>
      <c r="S4" s="0" t="n">
        <f aca="false">(-k_g/2)/dSf</f>
        <v>-0.178687459389214</v>
      </c>
      <c r="T4" s="0" t="n">
        <f aca="false">(-(k_d/2+k_pfo))/dSf</f>
        <v>-0.795971410006498</v>
      </c>
      <c r="V4" s="0" t="n">
        <f aca="false">((-k_cd)-dxc)/dSl</f>
        <v>-0.952380952380952</v>
      </c>
      <c r="W4" s="0" t="n">
        <f aca="false">(-dHc)/dSl</f>
        <v>-0.720453984702689</v>
      </c>
      <c r="Y4" s="0" t="n">
        <f aca="false">((-k_ctf)-dxc)/dSl</f>
        <v>0.00493461633358006</v>
      </c>
      <c r="Z4" s="0" t="n">
        <f aca="false">(-dHc)/dSl</f>
        <v>-0.720453984702689</v>
      </c>
      <c r="AB4" s="0" t="n">
        <f aca="false">((-k_cd+k_ctf)-dxc)/dSl</f>
        <v>-0.922773254379472</v>
      </c>
      <c r="AC4" s="0" t="n">
        <f aca="false">(-dHc)/dSl</f>
        <v>-0.720453984702689</v>
      </c>
      <c r="AE4" s="0" t="n">
        <f aca="false">((-k_cd+k_ctf)-dxc)/dSl</f>
        <v>-0.922773254379472</v>
      </c>
      <c r="AF4" s="0" t="n">
        <f aca="false">((k_d/2-k_tf/2))/dSl</f>
        <v>0.382926227485813</v>
      </c>
      <c r="AH4" s="0" t="n">
        <f aca="false">((-k_cd+k_ctf)-dxc)/dSl</f>
        <v>-0.922773254379472</v>
      </c>
      <c r="AI4" s="0" t="n">
        <f aca="false">(-(k_d/2-k_tf/2))/dSl</f>
        <v>-0.382926227485813</v>
      </c>
      <c r="AK4" s="0" t="n">
        <f aca="false">((0)-dxc)/dSl</f>
        <v>0.0345423143350605</v>
      </c>
      <c r="AL4" s="0" t="n">
        <f aca="false">(-k_Hp/2)/dSl</f>
        <v>-0.562546262028127</v>
      </c>
      <c r="AN4" s="0" t="n">
        <f aca="false">((k_tp)-dxc)/dSl</f>
        <v>0.0838884776708611</v>
      </c>
      <c r="AO4" s="0" t="n">
        <f aca="false">(k_d/2-k_tf)/dSl</f>
        <v>0.371083148285221</v>
      </c>
      <c r="AQ4" s="0" t="n">
        <f aca="false">((k_tp)-dxc)/dSl</f>
        <v>0.0838884776708611</v>
      </c>
      <c r="AR4" s="0" t="n">
        <f aca="false">(-k_d/2)/dSl</f>
        <v>-0.394769306686405</v>
      </c>
      <c r="AT4" s="0" t="n">
        <f aca="false">((k_tp)-dxc)/dSl</f>
        <v>0.0838884776708611</v>
      </c>
      <c r="AU4" s="0" t="n">
        <f aca="false">(k_d/2)/dSl</f>
        <v>0.394769306686405</v>
      </c>
      <c r="AW4" s="0" t="n">
        <f aca="false">((k_tp)-dxc)/dSl</f>
        <v>0.0838884776708611</v>
      </c>
      <c r="AX4" s="0" t="n">
        <f aca="false">(-k_d/2)/dSl</f>
        <v>-0.394769306686405</v>
      </c>
      <c r="AZ4" s="0" t="n">
        <f aca="false">(((k_tp-k_ctf)/2)-dxc)/dSl</f>
        <v>0.0444115470022206</v>
      </c>
      <c r="BA4" s="0" t="n">
        <f aca="false">(k_d/2+k_pfo)/dSl</f>
        <v>0.483592400690846</v>
      </c>
    </row>
    <row r="5" customFormat="false" ht="15" hidden="false" customHeight="false" outlineLevel="0" collapsed="false">
      <c r="A5" s="0" t="s">
        <v>515</v>
      </c>
      <c r="B5" s="0" t="n">
        <f aca="false">(-k_cd+k_tp+dLb)/2</f>
        <v>-1.75</v>
      </c>
      <c r="D5" s="0" t="n">
        <f aca="false">(-k_bp/2)/dSf</f>
        <v>-0.324886289798571</v>
      </c>
      <c r="E5" s="0" t="n">
        <f aca="false">(k_Hp/2)/dSf</f>
        <v>0.925925925925926</v>
      </c>
      <c r="G5" s="0" t="n">
        <f aca="false">(k_bf/2)/dSf</f>
        <v>0.292397660818713</v>
      </c>
      <c r="H5" s="0" t="n">
        <f aca="false">(k_d/2)/dSf</f>
        <v>0.649772579597141</v>
      </c>
      <c r="J5" s="0" t="n">
        <f aca="false">(-IF(k_is4E=1,0,st_t/20))/dSf</f>
        <v>-0</v>
      </c>
      <c r="K5" s="0" t="n">
        <f aca="false">(IF(k_is4E=1,k_d/2,k_Hp/2))/dSf</f>
        <v>0.649772579597141</v>
      </c>
      <c r="M5" s="0" t="n">
        <f aca="false">(-IF(k_is4E=1,0,st_t/20))/dSf</f>
        <v>-0</v>
      </c>
      <c r="N5" s="0" t="n">
        <f aca="false">(-IF(k_is4E=1,k_d/2,k_Hp/2))/dSf</f>
        <v>-0.649772579597141</v>
      </c>
      <c r="P5" s="0" t="n">
        <f aca="false">(k_g/2)/dSf</f>
        <v>0.178687459389214</v>
      </c>
      <c r="Q5" s="0" t="n">
        <f aca="false">(k_d/2+k_pfo)/dSf</f>
        <v>0.795971410006498</v>
      </c>
      <c r="S5" s="0" t="n">
        <f aca="false">(k_g/2)/dSf</f>
        <v>0.178687459389214</v>
      </c>
      <c r="T5" s="0" t="n">
        <f aca="false">(-(k_d/2+k_pfo))/dSf</f>
        <v>-0.795971410006498</v>
      </c>
      <c r="V5" s="0" t="n">
        <f aca="false">((-k_cd)-dxc)/dSl</f>
        <v>-0.952380952380952</v>
      </c>
      <c r="W5" s="0" t="n">
        <f aca="false">(dHc)/dSl</f>
        <v>0.720453984702689</v>
      </c>
      <c r="Y5" s="0" t="n">
        <f aca="false">((-k_ctf)-dxc)/dSl</f>
        <v>0.00493461633358006</v>
      </c>
      <c r="Z5" s="0" t="n">
        <f aca="false">(dHc)/dSl</f>
        <v>0.720453984702689</v>
      </c>
      <c r="AB5" s="0" t="n">
        <f aca="false">((-k_cd+k_ctf)-dxc)/dSl</f>
        <v>-0.922773254379472</v>
      </c>
      <c r="AC5" s="0" t="n">
        <f aca="false">(dHc)/dSl</f>
        <v>0.720453984702689</v>
      </c>
      <c r="AE5" s="0" t="n">
        <f aca="false">((IF(cp_usar="Sí",-k_ctf,-k_cd+k_ctf))-dxc)/dSl</f>
        <v>0.00493461633358006</v>
      </c>
      <c r="AF5" s="0" t="n">
        <f aca="false">((k_d/2-k_tf/2))/dSl</f>
        <v>0.382926227485813</v>
      </c>
      <c r="AH5" s="0" t="n">
        <f aca="false">((IF(cp_usar="Sí",-k_ctf,-k_cd+k_ctf))-dxc)/dSl</f>
        <v>0.00493461633358006</v>
      </c>
      <c r="AI5" s="0" t="n">
        <f aca="false">(-(k_d/2-k_tf/2))/dSl</f>
        <v>-0.382926227485813</v>
      </c>
      <c r="AK5" s="0" t="n">
        <f aca="false">((0)-dxc)/dSl</f>
        <v>0.0345423143350605</v>
      </c>
      <c r="AL5" s="0" t="n">
        <f aca="false">(k_Hp/2)/dSl</f>
        <v>0.562546262028127</v>
      </c>
      <c r="AN5" s="0" t="n">
        <f aca="false">((k_tp)-dxc)/dSl</f>
        <v>0.0838884776708611</v>
      </c>
      <c r="AO5" s="0" t="n">
        <f aca="false">(k_d/2)/dSl</f>
        <v>0.394769306686405</v>
      </c>
      <c r="AQ5" s="0" t="n">
        <f aca="false">((k_tp)-dxc)/dSl</f>
        <v>0.0838884776708611</v>
      </c>
      <c r="AR5" s="0" t="n">
        <f aca="false">(-k_d/2+k_tf)/dSl</f>
        <v>-0.371083148285221</v>
      </c>
      <c r="AT5" s="0" t="n">
        <f aca="false">((k_tp)-dxc)/dSl</f>
        <v>0.0838884776708611</v>
      </c>
      <c r="AU5" s="0" t="n">
        <f aca="false">(IF(k_is4E=1,k_d/2,k_Hp/2))/dSl</f>
        <v>0.394769306686405</v>
      </c>
      <c r="AW5" s="0" t="n">
        <f aca="false">((k_tp)-dxc)/dSl</f>
        <v>0.0838884776708611</v>
      </c>
      <c r="AX5" s="0" t="n">
        <f aca="false">(-IF(k_is4E=1,k_d/2,k_Hp/2))/dSl</f>
        <v>-0.394769306686405</v>
      </c>
      <c r="AZ5" s="0" t="n">
        <f aca="false">(((k_tp-k_ctf)/2)-dxc)/dSl</f>
        <v>0.0444115470022206</v>
      </c>
      <c r="BA5" s="0" t="n">
        <f aca="false">(k_d/2+k_pfo+k_pb)/dSl</f>
        <v>0.483592400690846</v>
      </c>
    </row>
    <row r="6" customFormat="false" ht="15" hidden="false" customHeight="false" outlineLevel="0" collapsed="false">
      <c r="A6" s="0" t="s">
        <v>516</v>
      </c>
      <c r="B6" s="0" t="n">
        <f aca="false">MAX(k_Hp+16,k_cd+k_tp+dLb)/2*1.05</f>
        <v>50.6625</v>
      </c>
      <c r="D6" s="0" t="n">
        <f aca="false">(k_bp/2)/dSf</f>
        <v>0.324886289798571</v>
      </c>
      <c r="E6" s="0" t="n">
        <f aca="false">(k_Hp/2)/dSf</f>
        <v>0.925925925925926</v>
      </c>
      <c r="G6" s="0" t="n">
        <f aca="false">(k_bf/2)/dSf</f>
        <v>0.292397660818713</v>
      </c>
      <c r="H6" s="0" t="n">
        <f aca="false">(k_d/2-k_tf)/dSf</f>
        <v>0.610786224821313</v>
      </c>
      <c r="J6" s="0" t="n">
        <f aca="false">(IF(k_is4E=1,0,st_t/20))/dSf</f>
        <v>0</v>
      </c>
      <c r="K6" s="0" t="n">
        <f aca="false">(IF(k_is4E=1,k_d/2,k_Hp/2))/dSf</f>
        <v>0.649772579597141</v>
      </c>
      <c r="M6" s="0" t="n">
        <f aca="false">(IF(k_is4E=1,0,st_t/20))/dSf</f>
        <v>0</v>
      </c>
      <c r="N6" s="0" t="n">
        <f aca="false">(-IF(k_is4E=1,k_d/2,k_Hp/2))/dSf</f>
        <v>-0.649772579597141</v>
      </c>
      <c r="P6" s="0" t="n">
        <f aca="false">(-k_g/2)/dSf</f>
        <v>-0.178687459389214</v>
      </c>
      <c r="Q6" s="0" t="n">
        <f aca="false">(k_d/2+k_pfo+k_pb)/dSf</f>
        <v>0.795971410006498</v>
      </c>
      <c r="S6" s="0" t="n">
        <f aca="false">(-k_g/2)/dSf</f>
        <v>-0.178687459389214</v>
      </c>
      <c r="T6" s="0" t="n">
        <f aca="false">(-(k_d/2+k_pfo+k_pb))/dSf</f>
        <v>-0.795971410006498</v>
      </c>
      <c r="V6" s="0" t="n">
        <f aca="false">((0)-dxc)/dSl</f>
        <v>0.0345423143350605</v>
      </c>
      <c r="W6" s="0" t="n">
        <f aca="false">(dHc)/dSl</f>
        <v>0.720453984702689</v>
      </c>
      <c r="AK6" s="0" t="n">
        <f aca="false">((k_tp)-dxc)/dSl</f>
        <v>0.0838884776708611</v>
      </c>
      <c r="AL6" s="0" t="n">
        <f aca="false">(k_Hp/2)/dSl</f>
        <v>0.562546262028127</v>
      </c>
      <c r="AN6" s="0" t="n">
        <f aca="false">((k_tp+dLb)-dxc)/dSl</f>
        <v>0.952380952380952</v>
      </c>
      <c r="AO6" s="0" t="n">
        <f aca="false">(k_d/2)/dSl</f>
        <v>0.394769306686405</v>
      </c>
      <c r="AQ6" s="0" t="n">
        <f aca="false">((k_tp+dLb)-dxc)/dSl</f>
        <v>0.952380952380952</v>
      </c>
      <c r="AR6" s="0" t="n">
        <f aca="false">(-k_d/2+k_tf)/dSl</f>
        <v>-0.371083148285221</v>
      </c>
      <c r="AT6" s="0" t="n">
        <f aca="false">((k_tp+IF(k_is4E=1,0,k_Lst))-dxc)/dSl</f>
        <v>0.0838884776708611</v>
      </c>
      <c r="AU6" s="0" t="n">
        <f aca="false">(k_d/2)/dSl</f>
        <v>0.394769306686405</v>
      </c>
      <c r="AW6" s="0" t="n">
        <f aca="false">((k_tp+IF(k_is4E=1,0,k_Lst))-dxc)/dSl</f>
        <v>0.0838884776708611</v>
      </c>
      <c r="AX6" s="0" t="n">
        <f aca="false">(-k_d/2)/dSl</f>
        <v>-0.394769306686405</v>
      </c>
      <c r="AZ6" s="0" t="n">
        <f aca="false">(((k_tp-k_ctf)/2)-dxc)/dSl</f>
        <v>0.0444115470022206</v>
      </c>
      <c r="BA6" s="0" t="n">
        <f aca="false">(k_d/2-k_tf-k_pfi)/dSl</f>
        <v>0.28226005428078</v>
      </c>
    </row>
    <row r="7" customFormat="false" ht="15" hidden="false" customHeight="false" outlineLevel="0" collapsed="false">
      <c r="A7" s="0" t="s">
        <v>517</v>
      </c>
      <c r="B7" s="0" t="n">
        <f aca="false">k_Hp/2+8</f>
        <v>36.5</v>
      </c>
      <c r="D7" s="0" t="n">
        <f aca="false">(k_bp/2)/dSf</f>
        <v>0.324886289798571</v>
      </c>
      <c r="E7" s="0" t="n">
        <f aca="false">(-k_Hp/2)/dSf</f>
        <v>-0.925925925925926</v>
      </c>
      <c r="G7" s="0" t="n">
        <f aca="false">(k_tw/2)/dSf</f>
        <v>0.00974658869395711</v>
      </c>
      <c r="H7" s="0" t="n">
        <f aca="false">(k_d/2-k_tf)/dSf</f>
        <v>0.610786224821313</v>
      </c>
      <c r="J7" s="0" t="n">
        <f aca="false">(IF(k_is4E=1,0,st_t/20))/dSf</f>
        <v>0</v>
      </c>
      <c r="K7" s="0" t="n">
        <f aca="false">(k_d/2)/dSf</f>
        <v>0.649772579597141</v>
      </c>
      <c r="M7" s="0" t="n">
        <f aca="false">(IF(k_is4E=1,0,st_t/20))/dSf</f>
        <v>0</v>
      </c>
      <c r="N7" s="0" t="n">
        <f aca="false">(-k_d/2)/dSf</f>
        <v>-0.649772579597141</v>
      </c>
      <c r="P7" s="0" t="n">
        <f aca="false">(k_g/2)/dSf</f>
        <v>0.178687459389214</v>
      </c>
      <c r="Q7" s="0" t="n">
        <f aca="false">(k_d/2+k_pfo+k_pb)/dSf</f>
        <v>0.795971410006498</v>
      </c>
      <c r="S7" s="0" t="n">
        <f aca="false">(k_g/2)/dSf</f>
        <v>0.178687459389214</v>
      </c>
      <c r="T7" s="0" t="n">
        <f aca="false">(-(k_d/2+k_pfo+k_pb))/dSf</f>
        <v>-0.795971410006498</v>
      </c>
      <c r="V7" s="0" t="n">
        <f aca="false">((0)-dxc)/dSl</f>
        <v>0.0345423143350605</v>
      </c>
      <c r="W7" s="0" t="n">
        <f aca="false">(-dHc)/dSl</f>
        <v>-0.720453984702689</v>
      </c>
      <c r="AK7" s="0" t="n">
        <f aca="false">((k_tp)-dxc)/dSl</f>
        <v>0.0838884776708611</v>
      </c>
      <c r="AL7" s="0" t="n">
        <f aca="false">(-k_Hp/2)/dSl</f>
        <v>-0.562546262028127</v>
      </c>
      <c r="AN7" s="0" t="n">
        <f aca="false">((k_tp+dLb)-dxc)/dSl</f>
        <v>0.952380952380952</v>
      </c>
      <c r="AO7" s="0" t="n">
        <f aca="false">(k_d/2-k_tf)/dSl</f>
        <v>0.371083148285221</v>
      </c>
      <c r="AQ7" s="0" t="n">
        <f aca="false">((k_tp+dLb)-dxc)/dSl</f>
        <v>0.952380952380952</v>
      </c>
      <c r="AR7" s="0" t="n">
        <f aca="false">(-k_d/2)/dSl</f>
        <v>-0.394769306686405</v>
      </c>
      <c r="AZ7" s="0" t="n">
        <f aca="false">(((k_tp-k_ctf)/2)-dxc)/dSl</f>
        <v>0.0444115470022206</v>
      </c>
      <c r="BA7" s="0" t="n">
        <f aca="false">(k_d/2-k_tf-k_pfi-k_pb)/dSl</f>
        <v>0.28226005428078</v>
      </c>
    </row>
    <row r="8" customFormat="false" ht="15" hidden="false" customHeight="false" outlineLevel="0" collapsed="false">
      <c r="D8" s="0" t="n">
        <f aca="false">(-k_bp/2)/dSf</f>
        <v>-0.324886289798571</v>
      </c>
      <c r="E8" s="0" t="n">
        <f aca="false">(-k_Hp/2)/dSf</f>
        <v>-0.925925925925926</v>
      </c>
      <c r="G8" s="0" t="n">
        <f aca="false">(k_tw/2)/dSf</f>
        <v>0.00974658869395711</v>
      </c>
      <c r="H8" s="0" t="n">
        <f aca="false">(-k_d/2+k_tf)/dSf</f>
        <v>-0.610786224821313</v>
      </c>
      <c r="P8" s="0" t="n">
        <f aca="false">(-k_g/2)/dSf</f>
        <v>-0.178687459389214</v>
      </c>
      <c r="Q8" s="0" t="n">
        <f aca="false">(k_d/2-k_tf-k_pfi)/dSf</f>
        <v>0.464587394411956</v>
      </c>
      <c r="S8" s="0" t="n">
        <f aca="false">(-k_g/2)/dSf</f>
        <v>-0.178687459389214</v>
      </c>
      <c r="T8" s="0" t="n">
        <f aca="false">(-(k_d/2-k_tf-k_pfi))/dSf</f>
        <v>-0.464587394411956</v>
      </c>
      <c r="V8" s="0" t="n">
        <f aca="false">((-k_cd)-dxc)/dSl</f>
        <v>-0.952380952380952</v>
      </c>
      <c r="W8" s="0" t="n">
        <f aca="false">(-dHc)/dSl</f>
        <v>-0.720453984702689</v>
      </c>
      <c r="AK8" s="0" t="n">
        <f aca="false">((0)-dxc)/dSl</f>
        <v>0.0345423143350605</v>
      </c>
      <c r="AL8" s="0" t="n">
        <f aca="false">(-k_Hp/2)/dSl</f>
        <v>-0.562546262028127</v>
      </c>
      <c r="AN8" s="0" t="n">
        <f aca="false">((k_tp)-dxc)/dSl</f>
        <v>0.0838884776708611</v>
      </c>
      <c r="AO8" s="0" t="n">
        <f aca="false">(k_d/2-k_tf)/dSl</f>
        <v>0.371083148285221</v>
      </c>
      <c r="AQ8" s="0" t="n">
        <f aca="false">((k_tp)-dxc)/dSl</f>
        <v>0.0838884776708611</v>
      </c>
      <c r="AR8" s="0" t="n">
        <f aca="false">(-k_d/2)/dSl</f>
        <v>-0.394769306686405</v>
      </c>
      <c r="AZ8" s="0" t="n">
        <f aca="false">(((k_tp-k_ctf)/2)-dxc)/dSl</f>
        <v>0.0444115470022206</v>
      </c>
      <c r="BA8" s="0" t="n">
        <f aca="false">(-(k_d/2+k_pfo))/dSl</f>
        <v>-0.483592400690846</v>
      </c>
    </row>
    <row r="9" customFormat="false" ht="15" hidden="false" customHeight="false" outlineLevel="0" collapsed="false">
      <c r="G9" s="0" t="n">
        <f aca="false">(k_bf/2)/dSf</f>
        <v>0.292397660818713</v>
      </c>
      <c r="H9" s="0" t="n">
        <f aca="false">(-k_d/2+k_tf)/dSf</f>
        <v>-0.610786224821313</v>
      </c>
      <c r="P9" s="0" t="n">
        <f aca="false">(k_g/2)/dSf</f>
        <v>0.178687459389214</v>
      </c>
      <c r="Q9" s="0" t="n">
        <f aca="false">(k_d/2-k_tf-k_pfi)/dSf</f>
        <v>0.464587394411956</v>
      </c>
      <c r="S9" s="0" t="n">
        <f aca="false">(k_g/2)/dSf</f>
        <v>0.178687459389214</v>
      </c>
      <c r="T9" s="0" t="n">
        <f aca="false">(-(k_d/2-k_tf-k_pfi))/dSf</f>
        <v>-0.464587394411956</v>
      </c>
      <c r="AZ9" s="0" t="n">
        <f aca="false">(((k_tp-k_ctf)/2)-dxc)/dSl</f>
        <v>0.0444115470022206</v>
      </c>
      <c r="BA9" s="0" t="n">
        <f aca="false">(-(k_d/2+k_pfo+k_pb))/dSl</f>
        <v>-0.483592400690846</v>
      </c>
    </row>
    <row r="10" customFormat="false" ht="15" hidden="false" customHeight="false" outlineLevel="0" collapsed="false">
      <c r="G10" s="0" t="n">
        <f aca="false">(k_bf/2)/dSf</f>
        <v>0.292397660818713</v>
      </c>
      <c r="H10" s="0" t="n">
        <f aca="false">(-k_d/2)/dSf</f>
        <v>-0.649772579597141</v>
      </c>
      <c r="P10" s="0" t="n">
        <f aca="false">(-k_g/2)/dSf</f>
        <v>-0.178687459389214</v>
      </c>
      <c r="Q10" s="0" t="n">
        <f aca="false">(k_d/2-k_tf-k_pfi-k_pb)/dSf</f>
        <v>0.464587394411956</v>
      </c>
      <c r="S10" s="0" t="n">
        <f aca="false">(-k_g/2)/dSf</f>
        <v>-0.178687459389214</v>
      </c>
      <c r="T10" s="0" t="n">
        <f aca="false">(-(k_d/2-k_tf-k_pfi-k_pb))/dSf</f>
        <v>-0.464587394411956</v>
      </c>
      <c r="AZ10" s="0" t="n">
        <f aca="false">(((k_tp-k_ctf)/2)-dxc)/dSl</f>
        <v>0.0444115470022206</v>
      </c>
      <c r="BA10" s="0" t="n">
        <f aca="false">(-(k_d/2-k_tf-k_pfi))/dSl</f>
        <v>-0.28226005428078</v>
      </c>
    </row>
    <row r="11" customFormat="false" ht="15" hidden="false" customHeight="false" outlineLevel="0" collapsed="false">
      <c r="G11" s="0" t="n">
        <f aca="false">(-k_bf/2)/dSf</f>
        <v>-0.292397660818713</v>
      </c>
      <c r="H11" s="0" t="n">
        <f aca="false">(-k_d/2)/dSf</f>
        <v>-0.649772579597141</v>
      </c>
      <c r="P11" s="0" t="n">
        <f aca="false">(k_g/2)/dSf</f>
        <v>0.178687459389214</v>
      </c>
      <c r="Q11" s="0" t="n">
        <f aca="false">(k_d/2-k_tf-k_pfi-k_pb)/dSf</f>
        <v>0.464587394411956</v>
      </c>
      <c r="S11" s="0" t="n">
        <f aca="false">(k_g/2)/dSf</f>
        <v>0.178687459389214</v>
      </c>
      <c r="T11" s="0" t="n">
        <f aca="false">(-(k_d/2-k_tf-k_pfi-k_pb))/dSf</f>
        <v>-0.464587394411956</v>
      </c>
      <c r="AZ11" s="0" t="n">
        <f aca="false">(((k_tp-k_ctf)/2)-dxc)/dSl</f>
        <v>0.0444115470022206</v>
      </c>
      <c r="BA11" s="0" t="n">
        <f aca="false">(-(k_d/2-k_tf-k_pfi-k_pb))/dSl</f>
        <v>-0.28226005428078</v>
      </c>
    </row>
    <row r="12" customFormat="false" ht="15" hidden="false" customHeight="false" outlineLevel="0" collapsed="false">
      <c r="G12" s="0" t="n">
        <f aca="false">(-k_bf/2)/dSf</f>
        <v>-0.292397660818713</v>
      </c>
      <c r="H12" s="0" t="n">
        <f aca="false">(-k_d/2+k_tf)/dSf</f>
        <v>-0.610786224821313</v>
      </c>
    </row>
    <row r="13" customFormat="false" ht="15" hidden="false" customHeight="false" outlineLevel="0" collapsed="false">
      <c r="G13" s="0" t="n">
        <f aca="false">(-k_tw/2)/dSf</f>
        <v>-0.00974658869395711</v>
      </c>
      <c r="H13" s="0" t="n">
        <f aca="false">(-k_d/2+k_tf)/dSf</f>
        <v>-0.610786224821313</v>
      </c>
    </row>
    <row r="14" customFormat="false" ht="15" hidden="false" customHeight="false" outlineLevel="0" collapsed="false">
      <c r="G14" s="0" t="n">
        <f aca="false">(-k_tw/2)/dSf</f>
        <v>-0.00974658869395711</v>
      </c>
      <c r="H14" s="0" t="n">
        <f aca="false">(k_d/2-k_tf)/dSf</f>
        <v>0.610786224821313</v>
      </c>
    </row>
    <row r="15" customFormat="false" ht="15" hidden="false" customHeight="false" outlineLevel="0" collapsed="false">
      <c r="G15" s="0" t="n">
        <f aca="false">(-k_bf/2)/dSf</f>
        <v>-0.292397660818713</v>
      </c>
      <c r="H15" s="0" t="n">
        <f aca="false">(k_d/2-k_tf)/dSf</f>
        <v>0.610786224821313</v>
      </c>
    </row>
    <row r="16" customFormat="false" ht="15" hidden="false" customHeight="false" outlineLevel="0" collapsed="false">
      <c r="G16" s="0" t="n">
        <f aca="false">(-k_bf/2)/dSf</f>
        <v>-0.292397660818713</v>
      </c>
      <c r="H16" s="0" t="n">
        <f aca="false">(k_d/2)/dSf</f>
        <v>0.649772579597141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2026-09-26T04:52:43Z</dcterms:created>
  <dc:creator>openpyxl</dc:creator>
  <dc:description/>
  <dc:language>en-US</dc:language>
  <cp:lastModifiedBy/>
  <dcterms:modified xsi:type="dcterms:W3CDTF">2026-09-26T04:52:47Z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