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EÑO" sheetId="1" state="visible" r:id="rId3"/>
    <sheet name="CALCULO" sheetId="2" state="visible" r:id="rId4"/>
    <sheet name="CATALOGOS" sheetId="3" state="visible" r:id="rId5"/>
    <sheet name="DIBUJO" sheetId="4" state="visible" r:id="rId6"/>
  </sheets>
  <definedNames>
    <definedName function="false" hidden="false" localSheetId="0" name="_xlnm.Print_Area" vbProcedure="false">DISEÑO!$A$1:$U$53</definedName>
    <definedName function="false" hidden="false" name="arand_sold" vbProcedure="false">DISEÑO!$C$35</definedName>
    <definedName function="false" hidden="false" name="ar_lado" vbProcedure="false">DISEÑO!$C$33</definedName>
    <definedName function="false" hidden="false" name="ar_t" vbProcedure="false">DISEÑO!$C$34</definedName>
    <definedName function="false" hidden="false" name="a_Abrg" vbProcedure="false">CALCULO!$D$19</definedName>
    <definedName function="false" hidden="false" name="a_Ase" vbProcedure="false">CALCULO!$D$17</definedName>
    <definedName function="false" hidden="false" name="a_bef" vbProcedure="false">CALCULO!$D$18</definedName>
    <definedName function="false" hidden="false" name="a_da" vbProcedure="false">CALCULO!$D$16</definedName>
    <definedName function="false" hidden="false" name="a_din" vbProcedure="false">CALCULO!$D$14</definedName>
    <definedName function="false" hidden="false" name="a_n" vbProcedure="false">CALCULO!$D$21</definedName>
    <definedName function="false" hidden="false" name="a_nf" vbProcedure="false">CALCULO!$D$20</definedName>
    <definedName function="false" hidden="false" name="a_tpi" vbProcedure="false">CALCULO!$D$15</definedName>
    <definedName function="false" hidden="false" name="b_fpu" vbProcedure="false">CALCULO!$D$32</definedName>
    <definedName function="false" hidden="false" name="b_qmax" vbProcedure="false">CALCULO!$D$33</definedName>
    <definedName function="false" hidden="false" name="b_raiz" vbProcedure="false">CALCULO!$D$31</definedName>
    <definedName function="false" hidden="false" name="cb_M" vbProcedure="false">DISEÑO!$J$23:$J$32</definedName>
    <definedName function="false" hidden="false" name="cb_nom" vbProcedure="false">DISEÑO!$G$23:$G$32</definedName>
    <definedName function="false" hidden="false" name="cb_P" vbProcedure="false">DISEÑO!$H$23:$H$32</definedName>
    <definedName function="false" hidden="false" name="cb_V" vbProcedure="false">DISEÑO!$I$23:$I$32</definedName>
    <definedName function="false" hidden="false" name="col_bf_mm" vbProcedure="false">DISEÑO!$C$13</definedName>
    <definedName function="false" hidden="false" name="col_d_mm" vbProcedure="false">DISEÑO!$C$12</definedName>
    <definedName function="false" hidden="false" name="col_perfil" vbProcedure="false">DISEÑO!$C$11</definedName>
    <definedName function="false" hidden="false" name="col_tf_mm" vbProcedure="false">DISEÑO!$C$15</definedName>
    <definedName function="false" hidden="false" name="col_tw_mm" vbProcedure="false">DISEÑO!$C$14</definedName>
    <definedName function="false" hidden="false" name="cv_m" vbProcedure="false">CALCULO!$D$34</definedName>
    <definedName function="false" hidden="false" name="cv_n" vbProcedure="false">CALCULO!$D$35</definedName>
    <definedName function="false" hidden="false" name="cv_np" vbProcedure="false">CALCULO!$D$36</definedName>
    <definedName function="false" hidden="false" name="c_A" vbProcedure="false">CALCULO!$D$9</definedName>
    <definedName function="false" hidden="false" name="c_bf" vbProcedure="false">CALCULO!$D$6</definedName>
    <definedName function="false" hidden="false" name="c_d" vbProcedure="false">CALCULO!$D$5</definedName>
    <definedName function="false" hidden="false" name="c_tf" vbProcedure="false">CALCULO!$D$8</definedName>
    <definedName function="false" hidden="false" name="c_tw" vbProcedure="false">CALCULO!$D$7</definedName>
    <definedName function="false" hidden="false" name="det_k" vbProcedure="false">DISEÑO!$K$36</definedName>
    <definedName function="false" hidden="false" name="dS" vbProcedure="false">DIBUJO!$B$3</definedName>
    <definedName function="false" hidden="false" name="dSe" vbProcedure="false">DIBUJO!$B$6</definedName>
    <definedName function="false" hidden="false" name="dzc" vbProcedure="false">DIBUJO!$B$7</definedName>
    <definedName function="false" hidden="false" name="dzmax" vbProcedure="false">DIBUJO!$B$5</definedName>
    <definedName function="false" hidden="false" name="dzmin" vbProcedure="false">DIBUJO!$B$4</definedName>
    <definedName function="false" hidden="false" name="fc" vbProcedure="false">DISEÑO!$C$38</definedName>
    <definedName function="false" hidden="false" name="fisurado" vbProcedure="false">DISEÑO!$C$41</definedName>
    <definedName function="false" hidden="false" name="grout_mm" vbProcedure="false">DISEÑO!$C$22</definedName>
    <definedName function="false" hidden="false" name="g_ANc" vbProcedure="false">CALCULO!$D$55</definedName>
    <definedName function="false" hidden="false" name="g_ANco" vbProcedure="false">CALCULO!$D$54</definedName>
    <definedName function="false" hidden="false" name="g_caB" vbProcedure="false">CALCULO!$D$28</definedName>
    <definedName function="false" hidden="false" name="g_caF" vbProcedure="false">CALCULO!$D$26</definedName>
    <definedName function="false" hidden="false" name="g_camax" vbProcedure="false">CALCULO!$D$52</definedName>
    <definedName function="false" hidden="false" name="g_caS" vbProcedure="false">CALCULO!$D$27</definedName>
    <definedName function="false" hidden="false" name="g_f" vbProcedure="false">CALCULO!$D$22</definedName>
    <definedName function="false" hidden="false" name="g_h" vbProcedure="false">CALCULO!$D$53</definedName>
    <definedName function="false" hidden="false" name="g_hef" vbProcedure="false">CALCULO!$D$25</definedName>
    <definedName function="false" hidden="false" name="g_Ncb0" vbProcedure="false">CALCULO!$D$57</definedName>
    <definedName function="false" hidden="false" name="g_ned" vbProcedure="false">CALCULO!$D$51</definedName>
    <definedName function="false" hidden="false" name="g_psied" vbProcedure="false">CALCULO!$D$56</definedName>
    <definedName function="false" hidden="false" name="g_sx" vbProcedure="false">CALCULO!$D$24</definedName>
    <definedName function="false" hidden="false" name="g_xb" vbProcedure="false">CALCULO!$D$23</definedName>
    <definedName function="false" hidden="false" name="hp_As" vbProcedure="false">CALCULO!$D$63</definedName>
    <definedName function="false" hidden="false" name="hp_db" vbProcedure="false">DISEÑO!$C$45</definedName>
    <definedName function="false" hidden="false" name="hp_fy" vbProcedure="false">DISEÑO!$C$46</definedName>
    <definedName function="false" hidden="false" name="hp_n" vbProcedure="false">DISEÑO!$C$44</definedName>
    <definedName function="false" hidden="false" name="hp_phiN" vbProcedure="false">CALCULO!$D$64</definedName>
    <definedName function="false" hidden="false" name="hp_usar" vbProcedure="false">DISEÑO!$C$43</definedName>
    <definedName function="false" hidden="false" name="k_sis" vbProcedure="false">CALCULO!$D$29</definedName>
    <definedName function="false" hidden="false" name="lim_verde" vbProcedure="false">DISEÑO!$C$9</definedName>
    <definedName function="false" hidden="false" name="omega0" vbProcedure="false">DISEÑO!$C$53</definedName>
    <definedName function="false" hidden="false" name="pb_diam" vbProcedure="false">DISEÑO!$C$27</definedName>
    <definedName function="false" hidden="false" name="pb_eB_mm" vbProcedure="false">DISEÑO!$C$31</definedName>
    <definedName function="false" hidden="false" name="pb_eN_mm" vbProcedure="false">DISEÑO!$C$30</definedName>
    <definedName function="false" hidden="false" name="pb_futa" vbProcedure="false">DISEÑO!$C$26</definedName>
    <definedName function="false" hidden="false" name="pb_fya" vbProcedure="false">DISEÑO!$C$25</definedName>
    <definedName function="false" hidden="false" name="pb_hef_mm" vbProcedure="false">DISEÑO!$C$32</definedName>
    <definedName function="false" hidden="false" name="pb_mat" vbProcedure="false">DISEÑO!$C$24</definedName>
    <definedName function="false" hidden="false" name="pb_nfila" vbProcedure="false">DISEÑO!$C$28</definedName>
    <definedName function="false" hidden="false" name="pb_ntot" vbProcedure="false">DISEÑO!$C$29</definedName>
    <definedName function="false" hidden="false" name="pb_nv" vbProcedure="false">DISEÑO!$C$36</definedName>
    <definedName function="false" hidden="false" name="ped_Bp" vbProcedure="false">DISEÑO!$C$40</definedName>
    <definedName function="false" hidden="false" name="ped_Np" vbProcedure="false">DISEÑO!$C$39</definedName>
    <definedName function="false" hidden="false" name="pl_acero" vbProcedure="false">DISEÑO!$C$17</definedName>
    <definedName function="false" hidden="false" name="pl_B_mm" vbProcedure="false">DISEÑO!$C$20</definedName>
    <definedName function="false" hidden="false" name="pl_Fy" vbProcedure="false">DISEÑO!$C$18</definedName>
    <definedName function="false" hidden="false" name="pl_N_mm" vbProcedure="false">DISEÑO!$C$19</definedName>
    <definedName function="false" hidden="false" name="pl_tp_mm" vbProcedure="false">DISEÑO!$C$21</definedName>
    <definedName function="false" hidden="false" name="po_phiNp" vbProcedure="false">CALCULO!$D$58</definedName>
    <definedName function="false" hidden="false" name="pr_phiV" vbProcedure="false">CALCULO!$D$73</definedName>
    <definedName function="false" hidden="false" name="psi_cN" vbProcedure="false">CALCULO!$D$42</definedName>
    <definedName function="false" hidden="false" name="psi_cV" vbProcedure="false">CALCULO!$D$65</definedName>
    <definedName function="false" hidden="false" name="p_B" vbProcedure="false">CALCULO!$D$11</definedName>
    <definedName function="false" hidden="false" name="p_g" vbProcedure="false">CALCULO!$D$13</definedName>
    <definedName function="false" hidden="false" name="p_N" vbProcedure="false">CALCULO!$D$10</definedName>
    <definedName function="false" hidden="false" name="p_phiMn" vbProcedure="false">CALCULO!$D$38</definedName>
    <definedName function="false" hidden="false" name="p_tp" vbProcedure="false">CALCULO!$D$12</definedName>
    <definedName function="false" hidden="false" name="p_xt" vbProcedure="false">CALCULO!$D$37</definedName>
    <definedName function="false" hidden="false" name="ref_borde" vbProcedure="false">DISEÑO!$C$42</definedName>
    <definedName function="false" hidden="false" name="sf_apF" vbProcedure="false">CALCULO!$D$59</definedName>
    <definedName function="false" hidden="false" name="sf_apS" vbProcedure="false">CALCULO!$D$61</definedName>
    <definedName function="false" hidden="false" name="sf_F" vbProcedure="false">CALCULO!$D$60</definedName>
    <definedName function="false" hidden="false" name="sf_S" vbProcedure="false">CALCULO!$D$62</definedName>
    <definedName function="false" hidden="false" name="sismo" vbProcedure="false">DISEÑO!$C$52</definedName>
    <definedName function="false" hidden="false" name="sold_elec" vbProcedure="false">DISEÑO!$C$48</definedName>
    <definedName function="false" hidden="false" name="sold_wf" vbProcedure="false">DISEÑO!$C$49</definedName>
    <definedName function="false" hidden="false" name="sold_ww" vbProcedure="false">DISEÑO!$C$50</definedName>
    <definedName function="false" hidden="false" name="s_phiNsa" vbProcedure="false">CALCULO!$D$40</definedName>
    <definedName function="false" hidden="false" name="s_phiVsa" vbProcedure="false">CALCULO!$D$41</definedName>
    <definedName function="false" hidden="false" name="t_ANc" vbProcedure="false">CALCULO!$D$47</definedName>
    <definedName function="false" hidden="false" name="t_ANco" vbProcedure="false">CALCULO!$D$46</definedName>
    <definedName function="false" hidden="false" name="t_camax" vbProcedure="false">CALCULO!$D$44</definedName>
    <definedName function="false" hidden="false" name="t_h" vbProcedure="false">CALCULO!$D$45</definedName>
    <definedName function="false" hidden="false" name="t_Nb" vbProcedure="false">CALCULO!$D$49</definedName>
    <definedName function="false" hidden="false" name="t_ned" vbProcedure="false">CALCULO!$D$43</definedName>
    <definedName function="false" hidden="false" name="t_phiNcb" vbProcedure="false">CALCULO!$D$50</definedName>
    <definedName function="false" hidden="false" name="t_psied" vbProcedure="false">CALCULO!$D$48</definedName>
    <definedName function="false" hidden="false" name="vA_Avc" vbProcedure="false">CALCULO!$D$68</definedName>
    <definedName function="false" hidden="false" name="vA_phi" vbProcedure="false">CALCULO!$D$69</definedName>
    <definedName function="false" hidden="false" name="vA_Vb" vbProcedure="false">CALCULO!$D$67</definedName>
    <definedName function="false" hidden="false" name="vB_Avc" vbProcedure="false">CALCULO!$D$71</definedName>
    <definedName function="false" hidden="false" name="vB_phi" vbProcedure="false">CALCULO!$D$72</definedName>
    <definedName function="false" hidden="false" name="vB_Vb" vbProcedure="false">CALCULO!$D$70</definedName>
    <definedName function="false" hidden="false" name="v_le" vbProcedure="false">CALCULO!$D$66</definedName>
    <definedName function="false" hidden="false" name="w_FEXX" vbProcedure="false">CALCULO!$D$75</definedName>
    <definedName function="false" hidden="false" name="w_phiRf" vbProcedure="false">CALCULO!$D$76</definedName>
    <definedName function="false" hidden="false" name="w_phiRw" vbProcedure="false">CALCULO!$D$77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Ratios ≤ este valor se pintan verdes; entre este valor y 1.00, amarillos; &gt; 1.00, rojos.</t>
        </r>
      </text>
    </comment>
    <comment ref="C22" authorId="0">
      <text>
        <r>
          <rPr>
            <sz val="10"/>
            <rFont val="Arial"/>
            <family val="2"/>
          </rPr>
          <t xml:space="preserve">Si &gt; 0, la resistencia a corte del acero del perno se multiplica por 0.80 (ACI 318-19 §17.7.1.2.1).</t>
        </r>
      </text>
    </comment>
    <comment ref="C26" authorId="0">
      <text>
        <r>
          <rPr>
            <sz val="10"/>
            <rFont val="Arial"/>
            <family val="2"/>
          </rPr>
          <t xml:space="preserve">ACI 318-19 §17.6.1.2: futa ≤ min(1.9·fya ; 125 000 psi).</t>
        </r>
      </text>
    </comment>
    <comment ref="C28" authorId="0">
      <text>
        <r>
          <rPr>
            <sz val="10"/>
            <rFont val="Arial"/>
            <family val="2"/>
          </rPr>
          <t xml:space="preserve">Patrón rectangular: una fila en el lado de tracción y otra en el de compresión, paralelas al ancho B.</t>
        </r>
      </text>
    </comment>
    <comment ref="C33" authorId="0">
      <text>
        <r>
          <rPr>
            <sz val="10"/>
            <rFont val="Arial"/>
            <family val="2"/>
          </rPr>
          <t xml:space="preserve">Anclaje inferior: tuerca hexagonal pesada (AISC DG1 desaconseja ganchos L/J por su baja resistencia a extracción). Una arandela/placa cuadrada bajo la tuerca aumenta Abrg; solo se cuenta el saliente respecto a la tuerca que no exceda el espesor de la arandela.</t>
        </r>
      </text>
    </comment>
    <comment ref="C35" authorId="0">
      <text>
        <r>
          <rPr>
            <sz val="10"/>
            <rFont val="Arial"/>
            <family val="2"/>
          </rPr>
          <t xml:space="preserve">Sí: todos los pernos toman corte y el arrancamiento en corte se evalúa en la fila más alejada (ACI 318-19 §17.7.2.1.1). No: se chequean los casos de fila frontal (fracción de V) y fila posterior (V total), Fig. R17.7.2.1b.</t>
        </r>
      </text>
    </comment>
    <comment ref="C36" authorId="0">
      <text>
        <r>
          <rPr>
            <sz val="10"/>
            <rFont val="Arial"/>
            <family val="2"/>
          </rPr>
          <t xml:space="preserve">Con agujeros agrandados y sin arandelas soldadas, AISC DG1 sugiere no contar con todos los pernos. Ingresar el número que se considera efectivo.</t>
        </r>
      </text>
    </comment>
    <comment ref="C43" authorId="0">
      <text>
        <r>
          <rPr>
            <sz val="10"/>
            <rFont val="Arial"/>
            <family val="2"/>
          </rPr>
          <t xml:space="preserve">ACI 318-19 §17.5.2.1: si el refuerzo de anclaje está desarrollado a ambos lados del plano de falla, su resistencia (φ=0.75) reemplaza la del arrancamiento del concreto.</t>
        </r>
      </text>
    </comment>
    <comment ref="C52" authorId="0">
      <text>
        <r>
          <rPr>
            <sz val="10"/>
            <rFont val="Arial"/>
            <family val="2"/>
          </rPr>
          <t xml:space="preserve">Sí: resistencias del concreto a tracción (arrancamiento, extracción, desprendimiento lateral) × 0.75 (ACI 318-19 §17.10.5.4).</t>
        </r>
      </text>
    </comment>
    <comment ref="C53" authorId="0">
      <text>
        <r>
          <rPr>
            <sz val="10"/>
            <rFont val="Arial"/>
            <family val="2"/>
          </rPr>
          <t xml:space="preserve">ACI 318-19 §17.10.5.3(d) / §17.10.6.3(c): amplificación por sobrerresistencia de las cargas sísmicas en el diseño de anclajes. Dejar 1.0 si las cargas ya la incluyen o si se cumple otra opción de §17.10.5.3.</t>
        </r>
      </text>
    </comment>
    <comment ref="P24" authorId="0">
      <text>
        <r>
          <rPr>
            <sz val="10"/>
            <rFont val="Arial"/>
            <family val="2"/>
          </rPr>
          <t xml:space="preserve">Demanda = Nua/φNn ; Capacidad = Vua/φVn de la combinación gobernante. Si ambos &gt; 0.2: ratio = (N + V)/1.2.</t>
        </r>
      </text>
    </comment>
  </commentList>
</comments>
</file>

<file path=xl/sharedStrings.xml><?xml version="1.0" encoding="utf-8"?>
<sst xmlns="http://schemas.openxmlformats.org/spreadsheetml/2006/main" count="726" uniqueCount="473">
  <si>
    <t xml:space="preserve">DISEÑO DE PLACA BASE Y PERNOS DE ANCLAJE — COLUMNA DE ACERO</t>
  </si>
  <si>
    <t xml:space="preserve">AISC Design Guide 1 (3ra ed.)  ·  AISC 360-16 (J2, J8)  ·  ACI 318-19 Cap. 17  ·  LRFD  ·  Unidades: Tonf, Tonf·m, mm, cm, kgf/cm²</t>
  </si>
  <si>
    <t xml:space="preserve">Celdas de ingreso:</t>
  </si>
  <si>
    <t xml:space="preserve">valor</t>
  </si>
  <si>
    <t xml:space="preserve">  Calculado:</t>
  </si>
  <si>
    <t xml:space="preserve">Estados:  VERDE ≤ límite  ·  AMARILLO entre límite y 1.00  ·  ROJO &gt; 1.00 (ratio = demanda / capacidad de diseño)</t>
  </si>
  <si>
    <t xml:space="preserve">DATOS GENERALES</t>
  </si>
  <si>
    <t xml:space="preserve">PLANTA  (●rojo: fila en tracción)</t>
  </si>
  <si>
    <t xml:space="preserve">ELEVACIÓN  (dirección N)</t>
  </si>
  <si>
    <t xml:space="preserve">VERIFICACIONES — combinación gobernante por chequeo</t>
  </si>
  <si>
    <t xml:space="preserve">Proyecto</t>
  </si>
  <si>
    <t xml:space="preserve">Galpón KUBIEC — ejemplo</t>
  </si>
  <si>
    <t xml:space="preserve">Elemento / nudo</t>
  </si>
  <si>
    <t xml:space="preserve">Columna interior C-1</t>
  </si>
  <si>
    <t xml:space="preserve">Límite verde / amarillo (ratio)</t>
  </si>
  <si>
    <t xml:space="preserve">1. COLUMNA</t>
  </si>
  <si>
    <t xml:space="preserve">Verificación</t>
  </si>
  <si>
    <t xml:space="preserve">Referencia</t>
  </si>
  <si>
    <t xml:space="preserve">Demanda</t>
  </si>
  <si>
    <t xml:space="preserve">Capacidad</t>
  </si>
  <si>
    <t xml:space="preserve">Unidad</t>
  </si>
  <si>
    <t xml:space="preserve">Ratio</t>
  </si>
  <si>
    <t xml:space="preserve">Estado</t>
  </si>
  <si>
    <t xml:space="preserve">Combo</t>
  </si>
  <si>
    <t xml:space="preserve">Perfil (catálogo o ARMADO)</t>
  </si>
  <si>
    <t xml:space="preserve">HA360X180X6X12</t>
  </si>
  <si>
    <t xml:space="preserve">Armado (mm)</t>
  </si>
  <si>
    <t xml:space="preserve">PLACA BASE Y CONCRETO DE APOYO</t>
  </si>
  <si>
    <t xml:space="preserve">Peralte d</t>
  </si>
  <si>
    <t xml:space="preserve">mm</t>
  </si>
  <si>
    <t xml:space="preserve">Aplastamiento del concreto</t>
  </si>
  <si>
    <t xml:space="preserve">AISC J8 · DG1</t>
  </si>
  <si>
    <t xml:space="preserve">Ancho de ala bf</t>
  </si>
  <si>
    <t xml:space="preserve">Flexión de placa — lado compresión</t>
  </si>
  <si>
    <t xml:space="preserve">DG1 Ec. 4-51a/4-52a</t>
  </si>
  <si>
    <t xml:space="preserve">kgf·cm/cm</t>
  </si>
  <si>
    <t xml:space="preserve">Espesor de alma tw</t>
  </si>
  <si>
    <t xml:space="preserve">Flexión de placa — lado tracción</t>
  </si>
  <si>
    <t xml:space="preserve">DG1 Ec. 4-62</t>
  </si>
  <si>
    <t xml:space="preserve">Espesor de ala tf</t>
  </si>
  <si>
    <t xml:space="preserve">PERNOS DE ANCLAJE — TRACCIÓN</t>
  </si>
  <si>
    <t xml:space="preserve">2. PLACA BASE</t>
  </si>
  <si>
    <t xml:space="preserve">Acero del perno (por perno)</t>
  </si>
  <si>
    <t xml:space="preserve">ACI §17.6.1</t>
  </si>
  <si>
    <t xml:space="preserve">Tonf</t>
  </si>
  <si>
    <t xml:space="preserve">Acero de placa</t>
  </si>
  <si>
    <t xml:space="preserve">A36</t>
  </si>
  <si>
    <t xml:space="preserve">Fy placa</t>
  </si>
  <si>
    <t xml:space="preserve">kgf/cm²</t>
  </si>
  <si>
    <t xml:space="preserve">Extracción por deslizamiento (pullout)</t>
  </si>
  <si>
    <t xml:space="preserve">ACI §17.6.3</t>
  </si>
  <si>
    <t xml:space="preserve">N — largo (dirección del momento)</t>
  </si>
  <si>
    <t xml:space="preserve">Desprendimiento lateral (blowout)</t>
  </si>
  <si>
    <t xml:space="preserve">ACI §17.6.4</t>
  </si>
  <si>
    <t xml:space="preserve">B — ancho (perpendicular)</t>
  </si>
  <si>
    <t xml:space="preserve">PERNOS DE ANCLAJE — CORTE</t>
  </si>
  <si>
    <t xml:space="preserve">tp — espesor</t>
  </si>
  <si>
    <t xml:space="preserve">CARGAS FACTORADAS EN LA BASE (LRFD)</t>
  </si>
  <si>
    <t xml:space="preserve">ACI §17.7.1</t>
  </si>
  <si>
    <t xml:space="preserve">Espesor de grout (mortero)</t>
  </si>
  <si>
    <t xml:space="preserve">Combinación</t>
  </si>
  <si>
    <t xml:space="preserve">Pu (Tonf)</t>
  </si>
  <si>
    <t xml:space="preserve">Vu (Tonf)</t>
  </si>
  <si>
    <t xml:space="preserve">Mu (Tonf·m)</t>
  </si>
  <si>
    <t xml:space="preserve">Caso DG1</t>
  </si>
  <si>
    <t xml:space="preserve">Ratio máx.</t>
  </si>
  <si>
    <t xml:space="preserve">Arrancamiento del concreto en corte</t>
  </si>
  <si>
    <t xml:space="preserve">ACI §17.7.2</t>
  </si>
  <si>
    <t xml:space="preserve">3. PERNOS DE ANCLAJE</t>
  </si>
  <si>
    <t xml:space="preserve">1.4D</t>
  </si>
  <si>
    <t xml:space="preserve">Desprendimiento por palanca (pryout)</t>
  </si>
  <si>
    <t xml:space="preserve">ACI §17.7.3</t>
  </si>
  <si>
    <t xml:space="preserve">Material</t>
  </si>
  <si>
    <t xml:space="preserve">F1554 Gr55</t>
  </si>
  <si>
    <t xml:space="preserve">1.2D+1.6L</t>
  </si>
  <si>
    <t xml:space="preserve">Interacción tracción – corte</t>
  </si>
  <si>
    <t xml:space="preserve">ACI §17.8</t>
  </si>
  <si>
    <t xml:space="preserve">N / V</t>
  </si>
  <si>
    <t xml:space="preserve">fya</t>
  </si>
  <si>
    <t xml:space="preserve">1.2D+1.0E+L</t>
  </si>
  <si>
    <t xml:space="preserve">SOLDADURA COLUMNA – PLACA</t>
  </si>
  <si>
    <t xml:space="preserve">futa  (≤ 1.9·fya ; ≤ 8790)</t>
  </si>
  <si>
    <t xml:space="preserve">0.9D+1.0E</t>
  </si>
  <si>
    <t xml:space="preserve">Filete en alas (tracción de ala)</t>
  </si>
  <si>
    <t xml:space="preserve">AISC J2.4 · Ec. J2-5</t>
  </si>
  <si>
    <t xml:space="preserve">Diámetro</t>
  </si>
  <si>
    <t xml:space="preserve">1"</t>
  </si>
  <si>
    <t xml:space="preserve">0.9D+1.0W</t>
  </si>
  <si>
    <t xml:space="preserve">Filete en alma (corte)</t>
  </si>
  <si>
    <t xml:space="preserve">AISC J2.4</t>
  </si>
  <si>
    <t xml:space="preserve">Pernos por fila (2 filas)</t>
  </si>
  <si>
    <t xml:space="preserve">C6</t>
  </si>
  <si>
    <t xml:space="preserve">GEOMETRÍA Y DETALLES (requerido / provisto)</t>
  </si>
  <si>
    <t xml:space="preserve">Total de pernos</t>
  </si>
  <si>
    <t xml:space="preserve">C7</t>
  </si>
  <si>
    <t xml:space="preserve">Espaciamiento mínimo 4·da</t>
  </si>
  <si>
    <t xml:space="preserve">ACI §17.9.2</t>
  </si>
  <si>
    <t xml:space="preserve">cm</t>
  </si>
  <si>
    <t xml:space="preserve">—</t>
  </si>
  <si>
    <t xml:space="preserve">Borde perno → placa (dir. N)</t>
  </si>
  <si>
    <t xml:space="preserve">C8</t>
  </si>
  <si>
    <t xml:space="preserve">Placa contenida en el pedestal</t>
  </si>
  <si>
    <t xml:space="preserve">Geometría</t>
  </si>
  <si>
    <t xml:space="preserve">Borde perno → placa (dir. B)</t>
  </si>
  <si>
    <t xml:space="preserve">C9</t>
  </si>
  <si>
    <t xml:space="preserve">Holgura perno – cara de ala ≥ 1.5·da</t>
  </si>
  <si>
    <t xml:space="preserve">Práctica (tuerca/llave)</t>
  </si>
  <si>
    <t xml:space="preserve">Empotramiento efectivo hef</t>
  </si>
  <si>
    <t xml:space="preserve">C10</t>
  </si>
  <si>
    <t xml:space="preserve">Borde perno – placa ≥ 1.5·da</t>
  </si>
  <si>
    <t xml:space="preserve">Práctica / DG1</t>
  </si>
  <si>
    <t xml:space="preserve">Arandela inferior: lado (0 = solo tuerca)</t>
  </si>
  <si>
    <t xml:space="preserve">Pu (+) compresión, (−) tracción.  Mu alrededor del eje fuerte (se usa |Mu|).  Vu en la dirección N.  Filas vacías se ignoran.</t>
  </si>
  <si>
    <t xml:space="preserve">Filete mínimo en alas</t>
  </si>
  <si>
    <t xml:space="preserve">AISC Tabla J2.4</t>
  </si>
  <si>
    <t xml:space="preserve">Arandela inferior: espesor</t>
  </si>
  <si>
    <t xml:space="preserve">Filete mínimo en alma</t>
  </si>
  <si>
    <t xml:space="preserve">Arandelas superiores soldadas a la placa</t>
  </si>
  <si>
    <t xml:space="preserve">Sí</t>
  </si>
  <si>
    <t xml:space="preserve">DETALLE DE UNA COMBINACIÓN (AISC DG1)</t>
  </si>
  <si>
    <t xml:space="preserve">Pernos efectivos a corte</t>
  </si>
  <si>
    <t xml:space="preserve">Combinación:</t>
  </si>
  <si>
    <t xml:space="preserve">índice:</t>
  </si>
  <si>
    <t xml:space="preserve">ALCANCE Y SUPUESTOS</t>
  </si>
  <si>
    <t xml:space="preserve">4. PEDESTAL Y CONCRETO</t>
  </si>
  <si>
    <t xml:space="preserve">• LRFD con cargas factoradas del análisis. Momento alrededor del eje fuerte; corte en la dirección N.</t>
  </si>
  <si>
    <t xml:space="preserve">f'c</t>
  </si>
  <si>
    <t xml:space="preserve">Excentricidad e = Mu/Pu</t>
  </si>
  <si>
    <t xml:space="preserve">• Placa rígida, pedestal concéntrico; A2 geométricamente similar a A1 (AISC J8).</t>
  </si>
  <si>
    <t xml:space="preserve">Pedestal Np (dirección N)</t>
  </si>
  <si>
    <t xml:space="preserve">Excentricidad crítica ecrit</t>
  </si>
  <si>
    <t xml:space="preserve">• Placa: voladizos m, n y λn' de DG1; momento grande por Y (ecuación cuadrática) y Tu de DG1.</t>
  </si>
  <si>
    <t xml:space="preserve">Pedestal Bp (dirección B)</t>
  </si>
  <si>
    <t xml:space="preserve">Longitud de apoyo Y</t>
  </si>
  <si>
    <t xml:space="preserve">• Pernos colados en sitio con tuerca hex. pesada; φ Condición B (sin refuerzo suplementario).</t>
  </si>
  <si>
    <t xml:space="preserve">Concreto fisurado</t>
  </si>
  <si>
    <t xml:space="preserve">Presión de apoyo fp</t>
  </si>
  <si>
    <t xml:space="preserve">• Arrancamiento con h'ef de ACI §17.6.2.1.2 cuando hay ≥ 3 bordes a menos de 1.5hef (pedestales).</t>
  </si>
  <si>
    <t xml:space="preserve">Refuerzo de borde ≥ Ø12 (ψc,V = 1.2)</t>
  </si>
  <si>
    <t xml:space="preserve">Tracción fila de pernos Tu</t>
  </si>
  <si>
    <t xml:space="preserve">• Hairpins: deben desarrollarse (ACI 25.4) a ambos lados del plano de falla — verificar el detalle.</t>
  </si>
  <si>
    <t xml:space="preserve">Hairpins (refuerzo de anclaje a tracción)</t>
  </si>
  <si>
    <t xml:space="preserve">Tracción por perno Nua (·Ω0)</t>
  </si>
  <si>
    <t xml:space="preserve">• No incluye: llave de corte, rigidizadores, fricción, flexión biaxial, pedestal a flexo-compresión.</t>
  </si>
  <si>
    <t xml:space="preserve">Hairpin: ramas efectivas</t>
  </si>
  <si>
    <t xml:space="preserve">Voladizo crítico l</t>
  </si>
  <si>
    <t xml:space="preserve">• Herramienta de apoyo: la responsabilidad del diseño es del ingeniero que la usa.</t>
  </si>
  <si>
    <t xml:space="preserve">Hairpin: diámetro</t>
  </si>
  <si>
    <t xml:space="preserve">Espesor de placa requerido</t>
  </si>
  <si>
    <t xml:space="preserve">fy del refuerzo</t>
  </si>
  <si>
    <t xml:space="preserve">Ratio máximo de la combinación</t>
  </si>
  <si>
    <t xml:space="preserve">5. SOLDADURA COLUMNA – PLACA</t>
  </si>
  <si>
    <t xml:space="preserve">tp provisto:</t>
  </si>
  <si>
    <t xml:space="preserve">Electrodo</t>
  </si>
  <si>
    <t xml:space="preserve">E70XX</t>
  </si>
  <si>
    <t xml:space="preserve">Filete en alas (w)</t>
  </si>
  <si>
    <t xml:space="preserve">Filete en alma (w)</t>
  </si>
  <si>
    <t xml:space="preserve">6. SISMO — ACI 318-19 §17.10</t>
  </si>
  <si>
    <t xml:space="preserve">Diseño sísmico (SDC C a F)</t>
  </si>
  <si>
    <t xml:space="preserve">Ω0 sobre cargas de anclajes</t>
  </si>
  <si>
    <t xml:space="preserve">HOJA DE CÁLCULO — memoria detallada (no editar; todo se alimenta de la hoja DISEÑO)</t>
  </si>
  <si>
    <t xml:space="preserve">Unidades internas: kgf, cm.  φ según ACI 318-19 Tabla 17.5.3 (Condición B, pernos colados en sitio) y AISC 360-16.</t>
  </si>
  <si>
    <t xml:space="preserve">1. GEOMETRÍA Y MATERIALES</t>
  </si>
  <si>
    <t xml:space="preserve">d</t>
  </si>
  <si>
    <t xml:space="preserve">Peralte de columna</t>
  </si>
  <si>
    <t xml:space="preserve">bf</t>
  </si>
  <si>
    <t xml:space="preserve">Ancho de ala</t>
  </si>
  <si>
    <t xml:space="preserve">tw</t>
  </si>
  <si>
    <t xml:space="preserve">Espesor de alma</t>
  </si>
  <si>
    <t xml:space="preserve">tf</t>
  </si>
  <si>
    <t xml:space="preserve">Espesor de ala</t>
  </si>
  <si>
    <t xml:space="preserve">A</t>
  </si>
  <si>
    <t xml:space="preserve">Área del perfil ≈ 2·bf·tf + (d−2tf)·tw</t>
  </si>
  <si>
    <t xml:space="preserve">cm²</t>
  </si>
  <si>
    <t xml:space="preserve">N</t>
  </si>
  <si>
    <t xml:space="preserve">Largo de placa (dir. del momento)</t>
  </si>
  <si>
    <t xml:space="preserve">B</t>
  </si>
  <si>
    <t xml:space="preserve">Ancho de placa</t>
  </si>
  <si>
    <t xml:space="preserve">tp</t>
  </si>
  <si>
    <t xml:space="preserve">Espesor de placa</t>
  </si>
  <si>
    <t xml:space="preserve">g</t>
  </si>
  <si>
    <t xml:space="preserve">Espesor de grout</t>
  </si>
  <si>
    <t xml:space="preserve">da</t>
  </si>
  <si>
    <t xml:space="preserve">Diámetro del perno</t>
  </si>
  <si>
    <t xml:space="preserve">in</t>
  </si>
  <si>
    <t xml:space="preserve">nt</t>
  </si>
  <si>
    <t xml:space="preserve">Hilos por pulgada (UNC)</t>
  </si>
  <si>
    <t xml:space="preserve">1/in</t>
  </si>
  <si>
    <t xml:space="preserve">Ase,N</t>
  </si>
  <si>
    <t xml:space="preserve">Área efectiva a tracción = 0.7854·(da−0.9743/nt)²</t>
  </si>
  <si>
    <t xml:space="preserve">b,ar</t>
  </si>
  <si>
    <t xml:space="preserve">Lado efectivo de arandela = mín(lado ; F + 2·t), F = 1.5da + 1/8 (tuerca)</t>
  </si>
  <si>
    <t xml:space="preserve">Abrg</t>
  </si>
  <si>
    <t xml:space="preserve">Tuerca hex. pesada 0.866·F² − π·da²/4 ; con arandela b² − π·da²/4</t>
  </si>
  <si>
    <t xml:space="preserve">nf</t>
  </si>
  <si>
    <t xml:space="preserve">Pernos por fila</t>
  </si>
  <si>
    <t xml:space="preserve">-</t>
  </si>
  <si>
    <t xml:space="preserve">n</t>
  </si>
  <si>
    <t xml:space="preserve">Pernos totales</t>
  </si>
  <si>
    <t xml:space="preserve">f</t>
  </si>
  <si>
    <t xml:space="preserve">Distancia centro de placa → fila de pernos (DG1)</t>
  </si>
  <si>
    <t xml:space="preserve">xb</t>
  </si>
  <si>
    <t xml:space="preserve">Distancia eje de placa → perno extremo (dir. B)</t>
  </si>
  <si>
    <t xml:space="preserve">s</t>
  </si>
  <si>
    <t xml:space="preserve">Espaciamiento entre pernos de una fila</t>
  </si>
  <si>
    <t xml:space="preserve">hef</t>
  </si>
  <si>
    <t xml:space="preserve">Empotramiento efectivo</t>
  </si>
  <si>
    <t xml:space="preserve">ca,F</t>
  </si>
  <si>
    <t xml:space="preserve">Fila en tracción → cara frontal del pedestal</t>
  </si>
  <si>
    <t xml:space="preserve">ca,S</t>
  </si>
  <si>
    <t xml:space="preserve">Perno extremo → cara lateral del pedestal</t>
  </si>
  <si>
    <t xml:space="preserve">ca,P</t>
  </si>
  <si>
    <t xml:space="preserve">Fila en tracción → cara posterior del pedestal</t>
  </si>
  <si>
    <t xml:space="preserve">k sis</t>
  </si>
  <si>
    <t xml:space="preserve">Factor sísmico concreto en tracción (ACI §17.10.5.4)</t>
  </si>
  <si>
    <t xml:space="preserve">2. APLASTAMIENTO — AISC 360-16 J8 / DG1</t>
  </si>
  <si>
    <t xml:space="preserve">√(A2/A1)</t>
  </si>
  <si>
    <t xml:space="preserve">A2 geométricamente similar y concéntrica, 1 ≤ √(A2/A1) ≤ 2</t>
  </si>
  <si>
    <t xml:space="preserve">fpu,max</t>
  </si>
  <si>
    <t xml:space="preserve">φc·0.85·f'c·√(A2/A1), φc = 0.65</t>
  </si>
  <si>
    <t xml:space="preserve">qmax</t>
  </si>
  <si>
    <t xml:space="preserve">fpu,max·B</t>
  </si>
  <si>
    <t xml:space="preserve">kgf/cm</t>
  </si>
  <si>
    <t xml:space="preserve">m</t>
  </si>
  <si>
    <t xml:space="preserve">(N − 0.95·d)/2</t>
  </si>
  <si>
    <t xml:space="preserve">(B − 0.80·bf)/2</t>
  </si>
  <si>
    <t xml:space="preserve">n'</t>
  </si>
  <si>
    <t xml:space="preserve">√(d·bf)/4</t>
  </si>
  <si>
    <t xml:space="preserve">x</t>
  </si>
  <si>
    <t xml:space="preserve">Brazo lado tracción: f − d/2 + tf/2 (DG1)</t>
  </si>
  <si>
    <t xml:space="preserve">φMn</t>
  </si>
  <si>
    <t xml:space="preserve">0.90·Fy·tp²/4 (por unidad de ancho)</t>
  </si>
  <si>
    <t xml:space="preserve">3. PERNOS — RESISTENCIAS (ACI 318-19 Cap. 17)</t>
  </si>
  <si>
    <t xml:space="preserve">φNsa</t>
  </si>
  <si>
    <t xml:space="preserve">Acero a tracción por perno: 0.75·Ase·futa (§17.6.1)</t>
  </si>
  <si>
    <t xml:space="preserve">kgf</t>
  </si>
  <si>
    <t xml:space="preserve">φVsa</t>
  </si>
  <si>
    <t xml:space="preserve">Acero a corte por perno: 0.65·0.6·Ase·futa·(0.8 si grout) (§17.7.1)</t>
  </si>
  <si>
    <t xml:space="preserve">ψc,N</t>
  </si>
  <si>
    <t xml:space="preserve">Fisuración (§17.6.2.5): 1.0 fisurado; 1.25 no fisurado</t>
  </si>
  <si>
    <t xml:space="preserve"># bordes</t>
  </si>
  <si>
    <t xml:space="preserve">Fila en tracción: bordes a &lt; 1.5hef</t>
  </si>
  <si>
    <t xml:space="preserve">ca,max</t>
  </si>
  <si>
    <t xml:space="preserve">Mayor distancia a borde entre las que son &lt; 1.5hef</t>
  </si>
  <si>
    <t xml:space="preserve">h'ef</t>
  </si>
  <si>
    <t xml:space="preserve">hef de cálculo (§17.6.2.1.2: si ≥ 3 bordes → máx(ca,max/1.5 ; s/3) ≤ hef)</t>
  </si>
  <si>
    <t xml:space="preserve">ANco</t>
  </si>
  <si>
    <t xml:space="preserve">9·h'ef²</t>
  </si>
  <si>
    <t xml:space="preserve">ANc</t>
  </si>
  <si>
    <t xml:space="preserve">Área proyectada de la fila (limitada por bordes) ≤ nf·ANco</t>
  </si>
  <si>
    <t xml:space="preserve">ψed,N</t>
  </si>
  <si>
    <t xml:space="preserve">0.7 + 0.3·ca,min/(1.5h'ef) ≤ 1 (§17.6.2.4)</t>
  </si>
  <si>
    <t xml:space="preserve">Nb</t>
  </si>
  <si>
    <t xml:space="preserve">24·√f'c·h'ef^1.5 [psi, in → kgf] (kc = 24, colado en sitio)</t>
  </si>
  <si>
    <t xml:space="preserve">φNcbg</t>
  </si>
  <si>
    <t xml:space="preserve">0.70·ksis·(ANc/ANco)·ψed·ψc·Nb — fila en tracción</t>
  </si>
  <si>
    <t xml:space="preserve">Grupo completo: bordes a &lt; 1.5hef</t>
  </si>
  <si>
    <t xml:space="preserve">Mayor distancia a borde (&lt; 1.5hef), grupo completo</t>
  </si>
  <si>
    <t xml:space="preserve">hef de cálculo, grupo completo (§17.6.2.1.2)</t>
  </si>
  <si>
    <t xml:space="preserve">Área proyectada del grupo completo ≤ n·ANco</t>
  </si>
  <si>
    <t xml:space="preserve">0.7 + 0.3·ca,min/(1.5h'ef) ≤ 1</t>
  </si>
  <si>
    <t xml:space="preserve">Ncbg0</t>
  </si>
  <si>
    <t xml:space="preserve">(ANc/ANco)·ψed·ψc·Nb — grupo completo, sin ψec</t>
  </si>
  <si>
    <t xml:space="preserve">φNpn</t>
  </si>
  <si>
    <t xml:space="preserve">Extracción por perno: 0.70·ksis·ψc,P·8·Abrg·f'c (§17.6.3), ψc,P = 1.0 fis./1.4</t>
  </si>
  <si>
    <t xml:space="preserve">aplica F</t>
  </si>
  <si>
    <t xml:space="preserve">Desprendimiento lateral hacia cara frontal: hef &gt; 2.5·ca,F</t>
  </si>
  <si>
    <t xml:space="preserve">φNsbg,F</t>
  </si>
  <si>
    <t xml:space="preserve">0.70·ksis·Nsbg; Nsb = 160·ca1·√Abrg·√f'c; grupo (1+s/6ca1) si s &lt; 6ca1 (§17.6.4)</t>
  </si>
  <si>
    <t xml:space="preserve">aplica S</t>
  </si>
  <si>
    <t xml:space="preserve">Desprendimiento lateral hacia cara lateral: hef &gt; 2.5·ca,S</t>
  </si>
  <si>
    <t xml:space="preserve">φNsb,S</t>
  </si>
  <si>
    <t xml:space="preserve">Perno esquinero hacia cara lateral (ca1 = ca,S ; ca2 = ca,F)</t>
  </si>
  <si>
    <t xml:space="preserve">As,hp</t>
  </si>
  <si>
    <t xml:space="preserve">Área de refuerzo de anclaje = ramas·As</t>
  </si>
  <si>
    <t xml:space="preserve">φNn,hp</t>
  </si>
  <si>
    <t xml:space="preserve">Refuerzo de anclaje: 0.75·As·fy (§17.5.2.1)</t>
  </si>
  <si>
    <t xml:space="preserve">ψc,V</t>
  </si>
  <si>
    <t xml:space="preserve">Corte (§17.7.2.5): no fis. 1.4; fis. c/refuerzo borde 1.2; fis. 1.0</t>
  </si>
  <si>
    <t xml:space="preserve">le</t>
  </si>
  <si>
    <t xml:space="preserve">min(hef ; 8·da)</t>
  </si>
  <si>
    <t xml:space="preserve">Vb</t>
  </si>
  <si>
    <t xml:space="preserve">Fila frontal (ca1 = ca,F): min(7(le/da)^0.2·√da·√f'c·ca1^1.5 ; 9√f'c·ca1^1.5)</t>
  </si>
  <si>
    <t xml:space="preserve">Avc/Avco</t>
  </si>
  <si>
    <t xml:space="preserve">Fila frontal (ca1 = ca,F): Avc/(4.5·ca1²), Avc = (2xb + 2·min(1.5ca1; ca,S))·1.5ca1</t>
  </si>
  <si>
    <t xml:space="preserve">φVcbg</t>
  </si>
  <si>
    <t xml:space="preserve">Fila frontal (ca1 = ca,F): 0.70·(Avc/Avco)·ψed,V·ψc,V·Vb (ψh = 1, pedestal profundo)</t>
  </si>
  <si>
    <t xml:space="preserve">Fila posterior (ca1 = ca,P): min(7(le/da)^0.2·√da·√f'c·ca1^1.5 ; 9√f'c·ca1^1.5)</t>
  </si>
  <si>
    <t xml:space="preserve">Fila posterior (ca1 = ca,P): Avc/(4.5·ca1²), Avc = (2xb + 2·min(1.5ca1; ca,S))·1.5ca1</t>
  </si>
  <si>
    <t xml:space="preserve">Fila posterior (ca1 = ca,P): 0.70·(Avc/Avco)·ψed,V·ψc,V·Vb (ψh = 1, pedestal profundo)</t>
  </si>
  <si>
    <t xml:space="preserve">φVcpg</t>
  </si>
  <si>
    <t xml:space="preserve">Pryout: 0.70·kcp·Ncbg0, kcp = 2 (hef ≥ 6.35 cm) (§17.7.3)</t>
  </si>
  <si>
    <t xml:space="preserve">4. SOLDADURA — AISC 360-16 J2.4</t>
  </si>
  <si>
    <t xml:space="preserve">FEXX</t>
  </si>
  <si>
    <t xml:space="preserve">Resistencia del electrodo</t>
  </si>
  <si>
    <t xml:space="preserve">φRn,ala</t>
  </si>
  <si>
    <t xml:space="preserve">0.75·0.6·FEXX·0.707·w·(2bf − tw)·1.5 (θ = 90°, Ec. J2-5)</t>
  </si>
  <si>
    <t xml:space="preserve">φRn,alma</t>
  </si>
  <si>
    <t xml:space="preserve">0.75·0.6·FEXX·0.707·w·2(d − 2tf) (θ = 0°)</t>
  </si>
  <si>
    <t xml:space="preserve">5. VERIFICACIÓN POR COMBINACIÓN DE CARGA</t>
  </si>
  <si>
    <t xml:space="preserve">Símbolo</t>
  </si>
  <si>
    <t xml:space="preserve">Descripción</t>
  </si>
  <si>
    <t xml:space="preserve">Unidad / ref.</t>
  </si>
  <si>
    <t xml:space="preserve">Nombre</t>
  </si>
  <si>
    <t xml:space="preserve">Pu</t>
  </si>
  <si>
    <t xml:space="preserve">Axial (+ compresión)</t>
  </si>
  <si>
    <t xml:space="preserve">Vu</t>
  </si>
  <si>
    <t xml:space="preserve">Cortante</t>
  </si>
  <si>
    <t xml:space="preserve">Mu</t>
  </si>
  <si>
    <t xml:space="preserve">|Momento|</t>
  </si>
  <si>
    <t xml:space="preserve">kgf·cm</t>
  </si>
  <si>
    <t xml:space="preserve">activo</t>
  </si>
  <si>
    <t xml:space="preserve">Combinación con cargas</t>
  </si>
  <si>
    <t xml:space="preserve">e</t>
  </si>
  <si>
    <t xml:space="preserve">Mu/Pu (si Pu &gt; 0)</t>
  </si>
  <si>
    <t xml:space="preserve">ecrit</t>
  </si>
  <si>
    <t xml:space="preserve">N/2 − Pu/(2·qmax)</t>
  </si>
  <si>
    <t xml:space="preserve">caso</t>
  </si>
  <si>
    <t xml:space="preserve">1: e ≤ ecrit | 2: momento grande | 3: levantamiento total | 0: inactiva</t>
  </si>
  <si>
    <t xml:space="preserve">DG1</t>
  </si>
  <si>
    <t xml:space="preserve">K</t>
  </si>
  <si>
    <t xml:space="preserve">(f+N/2)² − 2(Mu + Pu·f)/qmax</t>
  </si>
  <si>
    <t xml:space="preserve">Y</t>
  </si>
  <si>
    <t xml:space="preserve">Longitud de apoyo</t>
  </si>
  <si>
    <t xml:space="preserve">fp</t>
  </si>
  <si>
    <t xml:space="preserve">Presión de apoyo</t>
  </si>
  <si>
    <t xml:space="preserve">ratio</t>
  </si>
  <si>
    <t xml:space="preserve">Aplastamiento: caso 1 fp/fpu,max; caso 2 2(Mu+Pu·f)/[qmax(f+N/2)²]</t>
  </si>
  <si>
    <t xml:space="preserve">Dem.</t>
  </si>
  <si>
    <t xml:space="preserve">Aplastamiento — demanda (caso 1: kgf/cm²; caso 2: Tonf·m)</t>
  </si>
  <si>
    <t xml:space="preserve">Cap.</t>
  </si>
  <si>
    <t xml:space="preserve">Aplastamiento — capacidad (caso 1: fpu,max; caso 2: qmax(f+N/2)²/2)</t>
  </si>
  <si>
    <t xml:space="preserve">Tu</t>
  </si>
  <si>
    <t xml:space="preserve">Tracción en la fila de pernos (caso 3: |Pu|/2 + Mu/2f)</t>
  </si>
  <si>
    <t xml:space="preserve">λ</t>
  </si>
  <si>
    <t xml:space="preserve">DG1: solo carga axial (Mu = 0): 2√X/(1+√(1−X)) ≤ 1</t>
  </si>
  <si>
    <t xml:space="preserve">l</t>
  </si>
  <si>
    <t xml:space="preserve">Voladizo crítico: máx(m ; n ; λn')</t>
  </si>
  <si>
    <t xml:space="preserve">Mpl,c</t>
  </si>
  <si>
    <t xml:space="preserve">Lado compresión: Y ≥ l → fp·l²/2 ; Y &lt; l → fp·Y·(l − Y/2)  (DG1 Ec. 4-51a/4-52a)</t>
  </si>
  <si>
    <t xml:space="preserve">Mpl,t</t>
  </si>
  <si>
    <t xml:space="preserve">Lado tracción: Tu·x/B  (DG1 Ec. 4-62)</t>
  </si>
  <si>
    <t xml:space="preserve">Flexión placa, compresión: Mpl,c/φMn</t>
  </si>
  <si>
    <t xml:space="preserve">Flexión placa, tracción: Mpl,t/φMn</t>
  </si>
  <si>
    <t xml:space="preserve">tp,req</t>
  </si>
  <si>
    <t xml:space="preserve">Espesor requerido √(4·máx(Mpl)/(0.9·Fy))</t>
  </si>
  <si>
    <t xml:space="preserve">Nua</t>
  </si>
  <si>
    <t xml:space="preserve">Tracción por perno · Ω0</t>
  </si>
  <si>
    <t xml:space="preserve">Nua,g</t>
  </si>
  <si>
    <t xml:space="preserve">Tracción de la fila · Ω0</t>
  </si>
  <si>
    <t xml:space="preserve">Acero del perno a tracción</t>
  </si>
  <si>
    <t xml:space="preserve">ψec,N</t>
  </si>
  <si>
    <t xml:space="preserve">Caso 3: 1/(1 + e'N/(1.5h'ef)), e'N = Mu/|Pu| (§17.6.2.3)</t>
  </si>
  <si>
    <t xml:space="preserve">Arrancamiento — fila en tracción</t>
  </si>
  <si>
    <t xml:space="preserve">Arrancamiento — grupo completo (solo caso 3)</t>
  </si>
  <si>
    <t xml:space="preserve">Arrancamiento del concreto (o hairpin si se activa)</t>
  </si>
  <si>
    <t xml:space="preserve">Arrancamiento — demanda</t>
  </si>
  <si>
    <t xml:space="preserve">Arrancamiento — capacidad</t>
  </si>
  <si>
    <t xml:space="preserve">Extracción (pullout) por perno</t>
  </si>
  <si>
    <t xml:space="preserve">Desprendimiento lateral — cara frontal</t>
  </si>
  <si>
    <t xml:space="preserve">Desprendimiento lateral — cara lateral</t>
  </si>
  <si>
    <t xml:space="preserve">Desprendimiento lateral (gobernante)</t>
  </si>
  <si>
    <t xml:space="preserve">Desprendimiento lateral — demanda</t>
  </si>
  <si>
    <t xml:space="preserve">Desprendimiento lateral — capacidad</t>
  </si>
  <si>
    <t xml:space="preserve">Vua</t>
  </si>
  <si>
    <t xml:space="preserve">Corte total · Ω0</t>
  </si>
  <si>
    <t xml:space="preserve">Acero del perno a corte</t>
  </si>
  <si>
    <t xml:space="preserve">Arrancamiento en corte — fila frontal con V·nf/n (no aplica si arandelas soldadas)</t>
  </si>
  <si>
    <t xml:space="preserve">Arrancamiento en corte — fila posterior con V total</t>
  </si>
  <si>
    <t xml:space="preserve">Arrancamiento del concreto en corte (gobernante)</t>
  </si>
  <si>
    <t xml:space="preserve">Arrancamiento en corte — demanda</t>
  </si>
  <si>
    <t xml:space="preserve">Arrancamiento en corte — capacidad</t>
  </si>
  <si>
    <t xml:space="preserve">Pryout del grupo</t>
  </si>
  <si>
    <t xml:space="preserve">Nua/φNn</t>
  </si>
  <si>
    <t xml:space="preserve">Máximo en tracción (acero, arrancamiento, extracción, lateral)</t>
  </si>
  <si>
    <t xml:space="preserve">Vua/φVn</t>
  </si>
  <si>
    <t xml:space="preserve">Máximo en corte (acero, arrancamiento, pryout)</t>
  </si>
  <si>
    <t xml:space="preserve">Interacción §17.8: ≤ 0.2 → sin interacción; si no (N+V)/1.2</t>
  </si>
  <si>
    <t xml:space="preserve">Tu,ala</t>
  </si>
  <si>
    <t xml:space="preserve">Fuerza en ala: Mu/(d − tf) − Pu·bf·tf/A</t>
  </si>
  <si>
    <t xml:space="preserve">Soldadura de alas</t>
  </si>
  <si>
    <t xml:space="preserve">Soldadura de alma (corte)</t>
  </si>
  <si>
    <t xml:space="preserve">máx.</t>
  </si>
  <si>
    <t xml:space="preserve">CATÁLOGOS — se pueden ampliar agregando filas al final de cada tabla (dentro del rango indicado)</t>
  </si>
  <si>
    <t xml:space="preserve">Perfiles (HA: catálogo KUBIEC; W: AISC, redondeado a mm)</t>
  </si>
  <si>
    <t xml:space="preserve">Acero de placa (kgf/cm²)</t>
  </si>
  <si>
    <t xml:space="preserve">Pernos de anclaje (kgf/cm²) — ASTM F1554</t>
  </si>
  <si>
    <t xml:space="preserve">Diámetros (UNC)</t>
  </si>
  <si>
    <t xml:space="preserve">Espesor placa (mm)</t>
  </si>
  <si>
    <t xml:space="preserve">f'c (kgf/cm²)</t>
  </si>
  <si>
    <t xml:space="preserve">Electrodo (kgf/cm²)</t>
  </si>
  <si>
    <t xml:space="preserve">Opción</t>
  </si>
  <si>
    <t xml:space="preserve">Varilla (mm)</t>
  </si>
  <si>
    <t xml:space="preserve">Perfil</t>
  </si>
  <si>
    <t xml:space="preserve">d (mm)</t>
  </si>
  <si>
    <t xml:space="preserve">bf (mm)</t>
  </si>
  <si>
    <t xml:space="preserve">tw (mm)</t>
  </si>
  <si>
    <t xml:space="preserve">tf (mm)</t>
  </si>
  <si>
    <t xml:space="preserve">Acero</t>
  </si>
  <si>
    <t xml:space="preserve">Fy</t>
  </si>
  <si>
    <t xml:space="preserve">Fu</t>
  </si>
  <si>
    <t xml:space="preserve">futa</t>
  </si>
  <si>
    <t xml:space="preserve">da (in)</t>
  </si>
  <si>
    <t xml:space="preserve">hilos/in</t>
  </si>
  <si>
    <t xml:space="preserve">Sí/No</t>
  </si>
  <si>
    <t xml:space="preserve">Ø</t>
  </si>
  <si>
    <t xml:space="preserve">As (cm²)</t>
  </si>
  <si>
    <t xml:space="preserve">ARMADO (flejes soldados)</t>
  </si>
  <si>
    <t xml:space="preserve">F1554 Gr36</t>
  </si>
  <si>
    <t xml:space="preserve">1/2"</t>
  </si>
  <si>
    <t xml:space="preserve">E60XX</t>
  </si>
  <si>
    <t xml:space="preserve">HA200X140X6X12</t>
  </si>
  <si>
    <t xml:space="preserve">A572 Gr50</t>
  </si>
  <si>
    <t xml:space="preserve">5/8"</t>
  </si>
  <si>
    <t xml:space="preserve">No</t>
  </si>
  <si>
    <t xml:space="preserve">HA220X160X6X12</t>
  </si>
  <si>
    <t xml:space="preserve">A588 Gr50</t>
  </si>
  <si>
    <t xml:space="preserve">F1554 Gr105</t>
  </si>
  <si>
    <t xml:space="preserve">3/4"</t>
  </si>
  <si>
    <t xml:space="preserve">HA240X180X6X12</t>
  </si>
  <si>
    <t xml:space="preserve">A36 varilla roscada</t>
  </si>
  <si>
    <t xml:space="preserve">7/8"</t>
  </si>
  <si>
    <t xml:space="preserve">HA260X180X6X12</t>
  </si>
  <si>
    <t xml:space="preserve">HA280X180X6X12</t>
  </si>
  <si>
    <t xml:space="preserve">1-1/8"</t>
  </si>
  <si>
    <t xml:space="preserve">HA300X180X6X12</t>
  </si>
  <si>
    <t xml:space="preserve">1-1/4"</t>
  </si>
  <si>
    <t xml:space="preserve">HA320X180X6X12</t>
  </si>
  <si>
    <t xml:space="preserve">1-3/8"</t>
  </si>
  <si>
    <t xml:space="preserve">HA340X180X6X12</t>
  </si>
  <si>
    <t xml:space="preserve">1-1/2"</t>
  </si>
  <si>
    <t xml:space="preserve">1-3/4"</t>
  </si>
  <si>
    <t xml:space="preserve">HA380X200X8X15</t>
  </si>
  <si>
    <t xml:space="preserve">2"</t>
  </si>
  <si>
    <t xml:space="preserve">HA400X200X8X15</t>
  </si>
  <si>
    <t xml:space="preserve">HA420X210X8X15</t>
  </si>
  <si>
    <t xml:space="preserve">HA440X220X8X15</t>
  </si>
  <si>
    <t xml:space="preserve">HA460X230X8X15</t>
  </si>
  <si>
    <t xml:space="preserve">HA480X240X8X15</t>
  </si>
  <si>
    <t xml:space="preserve">HA500X250X10X15</t>
  </si>
  <si>
    <t xml:space="preserve">HA520X260X10X15</t>
  </si>
  <si>
    <t xml:space="preserve">HA540X270X10X15</t>
  </si>
  <si>
    <t xml:space="preserve">W8X31</t>
  </si>
  <si>
    <t xml:space="preserve">W10X33</t>
  </si>
  <si>
    <t xml:space="preserve">W10X49</t>
  </si>
  <si>
    <t xml:space="preserve">W12X40</t>
  </si>
  <si>
    <t xml:space="preserve">W12X53</t>
  </si>
  <si>
    <t xml:space="preserve">W12X65</t>
  </si>
  <si>
    <t xml:space="preserve">W14X48</t>
  </si>
  <si>
    <t xml:space="preserve">W14X68</t>
  </si>
  <si>
    <t xml:space="preserve">W14X90</t>
  </si>
  <si>
    <t xml:space="preserve">W16X57</t>
  </si>
  <si>
    <t xml:space="preserve">W18X60</t>
  </si>
  <si>
    <t xml:space="preserve">W24X76</t>
  </si>
  <si>
    <t xml:space="preserve">Conversión: 1 ksi = 70.307 kgf/cm².  futa F1554: Gr36 58 ksi, Gr55 75 ksi, Gr105 125 ksi (ASTM F1554).  Ase = 0.7854·(da − 0.9743/nt)² [in²]; Abrg tuerca hex. pesada = 0.866·(1.5da+1/8)² − π·da²/4 [in²].</t>
  </si>
  <si>
    <t xml:space="preserve">Coordenadas para las vistas de la hoja DISEÑO (normalizadas a ±1). No editar.</t>
  </si>
  <si>
    <t xml:space="preserve">Pedestal</t>
  </si>
  <si>
    <t xml:space="preserve">Placa</t>
  </si>
  <si>
    <t xml:space="preserve">Columna</t>
  </si>
  <si>
    <t xml:space="preserve">Pernos tracción</t>
  </si>
  <si>
    <t xml:space="preserve">Pernos compresión</t>
  </si>
  <si>
    <t xml:space="preserve">Grout</t>
  </si>
  <si>
    <t xml:space="preserve">Ala izq.</t>
  </si>
  <si>
    <t xml:space="preserve">Ala der.</t>
  </si>
  <si>
    <t xml:space="preserve">Perno T</t>
  </si>
  <si>
    <t xml:space="preserve">Perno C</t>
  </si>
  <si>
    <t xml:space="preserve">Tuercas</t>
  </si>
  <si>
    <t xml:space="preserve">Escala planta S</t>
  </si>
  <si>
    <t xml:space="preserve">y</t>
  </si>
  <si>
    <t xml:space="preserve">z mín</t>
  </si>
  <si>
    <t xml:space="preserve">z máx</t>
  </si>
  <si>
    <t xml:space="preserve">Escala elevación</t>
  </si>
  <si>
    <t xml:space="preserve">z centro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</si>
</sst>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"/>
    <numFmt numFmtId="167" formatCode="0"/>
    <numFmt numFmtId="168" formatCode="General"/>
    <numFmt numFmtId="169" formatCode=";;;"/>
    <numFmt numFmtId="170" formatCode="0.000"/>
    <numFmt numFmtId="171" formatCode="@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name val="Arial"/>
      <family val="0"/>
      <charset val="1"/>
    </font>
    <font>
      <sz val="8"/>
      <color rgb="FF0000FF"/>
      <name val="Arial"/>
      <family val="0"/>
      <charset val="1"/>
    </font>
    <font>
      <sz val="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8.5"/>
      <name val="Arial"/>
      <family val="0"/>
      <charset val="1"/>
    </font>
    <font>
      <b val="true"/>
      <sz val="8.5"/>
      <color rgb="FF1F2A44"/>
      <name val="Arial"/>
      <family val="0"/>
      <charset val="1"/>
    </font>
    <font>
      <sz val="7.5"/>
      <color rgb="FF555555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sz val="9"/>
      <color rgb="FF0000FF"/>
      <name val="Arial"/>
      <family val="0"/>
      <charset val="1"/>
    </font>
    <font>
      <sz val="8.5"/>
      <name val="Arial"/>
      <family val="0"/>
      <charset val="1"/>
    </font>
    <font>
      <i val="true"/>
      <sz val="7.5"/>
      <name val="Arial"/>
      <family val="0"/>
      <charset val="1"/>
    </font>
    <font>
      <i val="true"/>
      <sz val="8"/>
      <color rgb="FF999999"/>
      <name val="Arial"/>
      <family val="0"/>
      <charset val="1"/>
    </font>
    <font>
      <sz val="8"/>
      <color rgb="FF999999"/>
      <name val="Arial"/>
      <family val="0"/>
      <charset val="1"/>
    </font>
    <font>
      <sz val="10"/>
      <name val="Arial"/>
      <family val="2"/>
    </font>
    <font>
      <sz val="10"/>
      <color rgb="FF000000"/>
      <name val="Calibri"/>
      <family val="2"/>
    </font>
    <font>
      <b val="true"/>
      <sz val="12"/>
      <color rgb="FF1F2A44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1F2A4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A44"/>
        <bgColor rgb="FF2E3D5C"/>
      </patternFill>
    </fill>
    <fill>
      <patternFill patternType="solid">
        <fgColor rgb="FF2E3D5C"/>
        <bgColor rgb="FF404040"/>
      </patternFill>
    </fill>
    <fill>
      <patternFill patternType="solid">
        <fgColor rgb="FFFFF7D6"/>
        <bgColor rgb="FFF2F4F7"/>
      </patternFill>
    </fill>
    <fill>
      <patternFill patternType="solid">
        <fgColor rgb="FFF2F4F7"/>
        <bgColor rgb="FFFFFFFF"/>
      </patternFill>
    </fill>
    <fill>
      <patternFill patternType="solid">
        <fgColor rgb="FFD9DDE3"/>
        <bgColor rgb="FFD9D9D9"/>
      </patternFill>
    </fill>
    <fill>
      <patternFill patternType="solid">
        <fgColor rgb="FFE4E9F2"/>
        <bgColor rgb="FFE7E7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4BAC4"/>
      </left>
      <right style="thin">
        <color rgb="FFB4BAC4"/>
      </right>
      <top style="thin">
        <color rgb="FFB4BAC4"/>
      </top>
      <bottom style="thin">
        <color rgb="FFB4BAC4"/>
      </bottom>
      <diagonal/>
    </border>
    <border diagonalUp="false" diagonalDown="false">
      <left style="thin">
        <color rgb="FFB4BAC4"/>
      </left>
      <right/>
      <top style="thin">
        <color rgb="FFB4BAC4"/>
      </top>
      <bottom style="thin">
        <color rgb="FFB4BA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666666"/>
      </font>
      <fill>
        <patternFill>
          <bgColor rgb="FFD9DDE3"/>
        </patternFill>
      </fill>
    </dxf>
    <dxf>
      <font>
        <name val="Arial"/>
        <charset val="1"/>
        <family val="0"/>
        <b val="1"/>
        <color rgb="FFFFFFFF"/>
        <sz val="14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000000"/>
        <sz val="14"/>
      </font>
      <fill>
        <patternFill>
          <bgColor rgb="FFFFC000"/>
        </patternFill>
      </fill>
    </dxf>
    <dxf>
      <font>
        <name val="Arial"/>
        <charset val="1"/>
        <family val="0"/>
        <b val="1"/>
        <color rgb="FFFFFFFF"/>
        <sz val="14"/>
      </font>
      <fill>
        <patternFill>
          <bgColor rgb="FF00B050"/>
        </patternFill>
      </fill>
    </dxf>
    <dxf>
      <font>
        <name val="Arial"/>
        <charset val="1"/>
        <family val="0"/>
        <color rgb="FFA0A0A0"/>
      </font>
      <fill>
        <patternFill>
          <bgColor rgb="FFE7E7E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BAC4"/>
      <rgbColor rgb="FFA0A0A0"/>
      <rgbColor rgb="FFA6A6A6"/>
      <rgbColor rgb="FF993366"/>
      <rgbColor rgb="FFFFF7D6"/>
      <rgbColor rgb="FFE4E9F2"/>
      <rgbColor rgb="FF660066"/>
      <rgbColor rgb="FFFF8080"/>
      <rgbColor rgb="FF2F5597"/>
      <rgbColor rgb="FFD9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C6EFCE"/>
      <rgbColor rgb="FFFFEB9C"/>
      <rgbColor rgb="FFD9D9D9"/>
      <rgbColor rgb="FFE7E7E7"/>
      <rgbColor rgb="FFCC99FF"/>
      <rgbColor rgb="FFFFC7CE"/>
      <rgbColor rgb="FF3366FF"/>
      <rgbColor rgb="FF33CCCC"/>
      <rgbColor rgb="FF99CC00"/>
      <rgbColor rgb="FFFFC000"/>
      <rgbColor rgb="FFBF9000"/>
      <rgbColor rgb="FFFF6600"/>
      <rgbColor rgb="FF666666"/>
      <rgbColor rgb="FF999999"/>
      <rgbColor rgb="FF1F2A44"/>
      <rgbColor rgb="FF00B050"/>
      <rgbColor rgb="FF003300"/>
      <rgbColor rgb="FF555555"/>
      <rgbColor rgb="FF9C5700"/>
      <rgbColor rgb="FF993366"/>
      <rgbColor rgb="FF2E3D5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"Pedestal"</c:f>
              <c:strCache>
                <c:ptCount val="1"/>
                <c:pt idx="0">
                  <c:v>Pedestal</c:v>
                </c:pt>
              </c:strCache>
            </c:strRef>
          </c:tx>
          <c:spPr>
            <a:solidFill>
              <a:srgbClr val="a6a6a6"/>
            </a:solidFill>
            <a:ln w="1908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DIBUJO!$D$4:$D$8</c:f>
              <c:numCache>
                <c:formatCode>General</c:formatCode>
                <c:ptCount val="5"/>
                <c:pt idx="0">
                  <c:v>-0.925925925925926</c:v>
                </c:pt>
                <c:pt idx="1">
                  <c:v>-0.925925925925926</c:v>
                </c:pt>
                <c:pt idx="2">
                  <c:v>0.925925925925926</c:v>
                </c:pt>
                <c:pt idx="3">
                  <c:v>0.925925925925926</c:v>
                </c:pt>
                <c:pt idx="4">
                  <c:v>-0.925925925925926</c:v>
                </c:pt>
              </c:numCache>
            </c:numRef>
          </c:xVal>
          <c:yVal>
            <c:numRef>
              <c:f>DIBUJO!$E$4:$E$8</c:f>
              <c:numCache>
                <c:formatCode>General</c:formatCode>
                <c:ptCount val="5"/>
                <c:pt idx="0">
                  <c:v>-0.823045267489712</c:v>
                </c:pt>
                <c:pt idx="1">
                  <c:v>0.823045267489712</c:v>
                </c:pt>
                <c:pt idx="2">
                  <c:v>0.823045267489712</c:v>
                </c:pt>
                <c:pt idx="3">
                  <c:v>-0.823045267489712</c:v>
                </c:pt>
                <c:pt idx="4">
                  <c:v>-0.823045267489712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"Placa"</c:f>
              <c:strCache>
                <c:ptCount val="1"/>
                <c:pt idx="0">
                  <c:v>Placa</c:v>
                </c:pt>
              </c:strCache>
            </c:strRef>
          </c:tx>
          <c:spPr>
            <a:solidFill>
              <a:srgbClr val="2f5597"/>
            </a:solidFill>
            <a:ln w="2556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DIBUJO!$G$4:$G$8</c:f>
              <c:numCache>
                <c:formatCode>General</c:formatCode>
                <c:ptCount val="5"/>
                <c:pt idx="0">
                  <c:v>-0.617283950617284</c:v>
                </c:pt>
                <c:pt idx="1">
                  <c:v>-0.617283950617284</c:v>
                </c:pt>
                <c:pt idx="2">
                  <c:v>0.617283950617284</c:v>
                </c:pt>
                <c:pt idx="3">
                  <c:v>0.617283950617284</c:v>
                </c:pt>
                <c:pt idx="4">
                  <c:v>-0.617283950617284</c:v>
                </c:pt>
              </c:numCache>
            </c:numRef>
          </c:xVal>
          <c:yVal>
            <c:numRef>
              <c:f>DIBUJO!$H$4:$H$8</c:f>
              <c:numCache>
                <c:formatCode>General</c:formatCode>
                <c:ptCount val="5"/>
                <c:pt idx="0">
                  <c:v>-0.411522633744856</c:v>
                </c:pt>
                <c:pt idx="1">
                  <c:v>0.411522633744856</c:v>
                </c:pt>
                <c:pt idx="2">
                  <c:v>0.411522633744856</c:v>
                </c:pt>
                <c:pt idx="3">
                  <c:v>-0.411522633744856</c:v>
                </c:pt>
                <c:pt idx="4">
                  <c:v>-0.411522633744856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"Columna"</c:f>
              <c:strCache>
                <c:ptCount val="1"/>
                <c:pt idx="0">
                  <c:v>Columna</c:v>
                </c:pt>
              </c:strCache>
            </c:strRef>
          </c:tx>
          <c:spPr>
            <a:solidFill>
              <a:srgbClr val="1f2a44"/>
            </a:solidFill>
            <a:ln w="2232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DIBUJO!$J$4:$J$16</c:f>
              <c:numCache>
                <c:formatCode>General</c:formatCode>
                <c:ptCount val="13"/>
                <c:pt idx="0">
                  <c:v>-0.37037037037037</c:v>
                </c:pt>
                <c:pt idx="1">
                  <c:v>-0.37037037037037</c:v>
                </c:pt>
                <c:pt idx="2">
                  <c:v>-0.345679012345679</c:v>
                </c:pt>
                <c:pt idx="3">
                  <c:v>-0.345679012345679</c:v>
                </c:pt>
                <c:pt idx="4">
                  <c:v>0.345679012345679</c:v>
                </c:pt>
                <c:pt idx="5">
                  <c:v>0.345679012345679</c:v>
                </c:pt>
                <c:pt idx="6">
                  <c:v>0.37037037037037</c:v>
                </c:pt>
                <c:pt idx="7">
                  <c:v>0.37037037037037</c:v>
                </c:pt>
                <c:pt idx="8">
                  <c:v>0.345679012345679</c:v>
                </c:pt>
                <c:pt idx="9">
                  <c:v>0.345679012345679</c:v>
                </c:pt>
                <c:pt idx="10">
                  <c:v>-0.345679012345679</c:v>
                </c:pt>
                <c:pt idx="11">
                  <c:v>-0.345679012345679</c:v>
                </c:pt>
                <c:pt idx="12">
                  <c:v>-0.37037037037037</c:v>
                </c:pt>
              </c:numCache>
            </c:numRef>
          </c:xVal>
          <c:yVal>
            <c:numRef>
              <c:f>DIBUJO!$K$4:$K$16</c:f>
              <c:numCache>
                <c:formatCode>General</c:formatCode>
                <c:ptCount val="13"/>
                <c:pt idx="0">
                  <c:v>-0.185185185185185</c:v>
                </c:pt>
                <c:pt idx="1">
                  <c:v>0.185185185185185</c:v>
                </c:pt>
                <c:pt idx="2">
                  <c:v>0.185185185185185</c:v>
                </c:pt>
                <c:pt idx="3">
                  <c:v>0.00617283950617284</c:v>
                </c:pt>
                <c:pt idx="4">
                  <c:v>0.00617283950617284</c:v>
                </c:pt>
                <c:pt idx="5">
                  <c:v>0.185185185185185</c:v>
                </c:pt>
                <c:pt idx="6">
                  <c:v>0.185185185185185</c:v>
                </c:pt>
                <c:pt idx="7">
                  <c:v>-0.185185185185185</c:v>
                </c:pt>
                <c:pt idx="8">
                  <c:v>-0.185185185185185</c:v>
                </c:pt>
                <c:pt idx="9">
                  <c:v>-0.00617283950617284</c:v>
                </c:pt>
                <c:pt idx="10">
                  <c:v>-0.00617283950617284</c:v>
                </c:pt>
                <c:pt idx="11">
                  <c:v>-0.185185185185185</c:v>
                </c:pt>
                <c:pt idx="12">
                  <c:v>-0.185185185185185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"Pernos tracción"</c:f>
              <c:strCache>
                <c:ptCount val="1"/>
                <c:pt idx="0">
                  <c:v>Pernos tracción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DIBUJO!$M$4:$M$7</c:f>
              <c:numCache>
                <c:formatCode>General</c:formatCode>
                <c:ptCount val="4"/>
                <c:pt idx="0">
                  <c:v>-0.51440329218107</c:v>
                </c:pt>
                <c:pt idx="1">
                  <c:v>-0.51440329218107</c:v>
                </c:pt>
                <c:pt idx="2">
                  <c:v>-0.51440329218107</c:v>
                </c:pt>
                <c:pt idx="3">
                  <c:v>-0.51440329218107</c:v>
                </c:pt>
              </c:numCache>
            </c:numRef>
          </c:xVal>
          <c:yVal>
            <c:numRef>
              <c:f>DIBUJO!$N$4:$N$7</c:f>
              <c:numCache>
                <c:formatCode>General</c:formatCode>
                <c:ptCount val="4"/>
                <c:pt idx="0">
                  <c:v>-0.308641975308642</c:v>
                </c:pt>
                <c:pt idx="1">
                  <c:v>0.308641975308642</c:v>
                </c:pt>
                <c:pt idx="2">
                  <c:v>-0.308641975308642</c:v>
                </c:pt>
                <c:pt idx="3">
                  <c:v>-0.308641975308642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"Pernos compresión"</c:f>
              <c:strCache>
                <c:ptCount val="1"/>
                <c:pt idx="0">
                  <c:v>Pernos compresión</c:v>
                </c:pt>
              </c:strCache>
            </c:strRef>
          </c:tx>
          <c:spPr>
            <a:solidFill>
              <a:srgbClr val="00b05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00b05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DIBUJO!$P$4:$P$7</c:f>
              <c:numCache>
                <c:formatCode>General</c:formatCode>
                <c:ptCount val="4"/>
                <c:pt idx="0">
                  <c:v>0.51440329218107</c:v>
                </c:pt>
                <c:pt idx="1">
                  <c:v>0.51440329218107</c:v>
                </c:pt>
                <c:pt idx="2">
                  <c:v>0.51440329218107</c:v>
                </c:pt>
                <c:pt idx="3">
                  <c:v>0.51440329218107</c:v>
                </c:pt>
              </c:numCache>
            </c:numRef>
          </c:xVal>
          <c:yVal>
            <c:numRef>
              <c:f>DIBUJO!$Q$4:$Q$7</c:f>
              <c:numCache>
                <c:formatCode>General</c:formatCode>
                <c:ptCount val="4"/>
                <c:pt idx="0">
                  <c:v>-0.308641975308642</c:v>
                </c:pt>
                <c:pt idx="1">
                  <c:v>0.308641975308642</c:v>
                </c:pt>
                <c:pt idx="2">
                  <c:v>-0.308641975308642</c:v>
                </c:pt>
                <c:pt idx="3">
                  <c:v>-0.308641975308642</c:v>
                </c:pt>
              </c:numCache>
            </c:numRef>
          </c:yVal>
          <c:smooth val="0"/>
        </c:ser>
        <c:axId val="68835713"/>
        <c:axId val="76879649"/>
      </c:scatterChart>
      <c:valAx>
        <c:axId val="68835713"/>
        <c:scaling>
          <c:orientation val="minMax"/>
          <c:max val="1"/>
          <c:min val="-1"/>
        </c:scaling>
        <c:delete val="0"/>
        <c:axPos val="b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879649"/>
        <c:crosses val="autoZero"/>
        <c:crossBetween val="midCat"/>
      </c:valAx>
      <c:valAx>
        <c:axId val="76879649"/>
        <c:scaling>
          <c:orientation val="minMax"/>
          <c:max val="1"/>
          <c:min val="-1"/>
        </c:scaling>
        <c:delete val="0"/>
        <c:axPos val="l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83571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"Pedestal"</c:f>
              <c:strCache>
                <c:ptCount val="1"/>
                <c:pt idx="0">
                  <c:v>Pedestal</c:v>
                </c:pt>
              </c:strCache>
            </c:strRef>
          </c:tx>
          <c:spPr>
            <a:solidFill>
              <a:srgbClr val="a6a6a6"/>
            </a:solidFill>
            <a:ln w="1908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DIBUJO!$S$4:$S$7</c:f>
              <c:numCache>
                <c:formatCode>General</c:formatCode>
                <c:ptCount val="4"/>
                <c:pt idx="0">
                  <c:v>-0.925925925925926</c:v>
                </c:pt>
                <c:pt idx="1">
                  <c:v>-0.925925925925926</c:v>
                </c:pt>
                <c:pt idx="2">
                  <c:v>0.925925925925926</c:v>
                </c:pt>
                <c:pt idx="3">
                  <c:v>0.925925925925926</c:v>
                </c:pt>
              </c:numCache>
            </c:numRef>
          </c:xVal>
          <c:yVal>
            <c:numRef>
              <c:f>DIBUJO!$T$4:$T$7</c:f>
              <c:numCache>
                <c:formatCode>General</c:formatCode>
                <c:ptCount val="4"/>
                <c:pt idx="0">
                  <c:v>-0.901234567901235</c:v>
                </c:pt>
                <c:pt idx="1">
                  <c:v>0.333333333333333</c:v>
                </c:pt>
                <c:pt idx="2">
                  <c:v>0.333333333333333</c:v>
                </c:pt>
                <c:pt idx="3">
                  <c:v>-0.901234567901235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"Grout"</c:f>
              <c:strCache>
                <c:ptCount val="1"/>
                <c:pt idx="0">
                  <c:v>Grout</c:v>
                </c:pt>
              </c:strCache>
            </c:strRef>
          </c:tx>
          <c:spPr>
            <a:solidFill>
              <a:srgbClr val="bf9000"/>
            </a:solidFill>
            <a:ln w="12600">
              <a:solidFill>
                <a:srgbClr val="bf9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DIBUJO!$V$4:$V$7</c:f>
              <c:numCache>
                <c:formatCode>General</c:formatCode>
                <c:ptCount val="4"/>
                <c:pt idx="0">
                  <c:v>-0.668724279835391</c:v>
                </c:pt>
                <c:pt idx="1">
                  <c:v>-0.617283950617284</c:v>
                </c:pt>
                <c:pt idx="2">
                  <c:v>0.617283950617284</c:v>
                </c:pt>
                <c:pt idx="3">
                  <c:v>0.668724279835391</c:v>
                </c:pt>
              </c:numCache>
            </c:numRef>
          </c:xVal>
          <c:yVal>
            <c:numRef>
              <c:f>DIBUJO!$W$4:$W$7</c:f>
              <c:numCache>
                <c:formatCode>General</c:formatCode>
                <c:ptCount val="4"/>
                <c:pt idx="0">
                  <c:v>0.333333333333333</c:v>
                </c:pt>
                <c:pt idx="1">
                  <c:v>0.38477366255144</c:v>
                </c:pt>
                <c:pt idx="2">
                  <c:v>0.38477366255144</c:v>
                </c:pt>
                <c:pt idx="3">
                  <c:v>0.333333333333333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"Placa"</c:f>
              <c:strCache>
                <c:ptCount val="1"/>
                <c:pt idx="0">
                  <c:v>Placa</c:v>
                </c:pt>
              </c:strCache>
            </c:strRef>
          </c:tx>
          <c:spPr>
            <a:solidFill>
              <a:srgbClr val="2f5597"/>
            </a:solidFill>
            <a:ln w="2556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DIBUJO!$Y$4:$Y$8</c:f>
              <c:numCache>
                <c:formatCode>General</c:formatCode>
                <c:ptCount val="5"/>
                <c:pt idx="0">
                  <c:v>-0.617283950617284</c:v>
                </c:pt>
                <c:pt idx="1">
                  <c:v>-0.617283950617284</c:v>
                </c:pt>
                <c:pt idx="2">
                  <c:v>0.617283950617284</c:v>
                </c:pt>
                <c:pt idx="3">
                  <c:v>0.617283950617284</c:v>
                </c:pt>
                <c:pt idx="4">
                  <c:v>-0.617283950617284</c:v>
                </c:pt>
              </c:numCache>
            </c:numRef>
          </c:xVal>
          <c:yVal>
            <c:numRef>
              <c:f>DIBUJO!$Z$4:$Z$8</c:f>
              <c:numCache>
                <c:formatCode>General</c:formatCode>
                <c:ptCount val="5"/>
                <c:pt idx="0">
                  <c:v>0.38477366255144</c:v>
                </c:pt>
                <c:pt idx="1">
                  <c:v>0.45679012345679</c:v>
                </c:pt>
                <c:pt idx="2">
                  <c:v>0.45679012345679</c:v>
                </c:pt>
                <c:pt idx="3">
                  <c:v>0.38477366255144</c:v>
                </c:pt>
                <c:pt idx="4">
                  <c:v>0.38477366255144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"Columna"</c:f>
              <c:strCache>
                <c:ptCount val="1"/>
                <c:pt idx="0">
                  <c:v>Columna</c:v>
                </c:pt>
              </c:strCache>
            </c:strRef>
          </c:tx>
          <c:spPr>
            <a:solidFill>
              <a:srgbClr val="1f2a44"/>
            </a:solidFill>
            <a:ln w="2232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DIBUJO!$AB$4:$AB$7</c:f>
              <c:numCache>
                <c:formatCode>General</c:formatCode>
                <c:ptCount val="4"/>
                <c:pt idx="0">
                  <c:v>-0.37037037037037</c:v>
                </c:pt>
                <c:pt idx="1">
                  <c:v>-0.37037037037037</c:v>
                </c:pt>
                <c:pt idx="2">
                  <c:v>0.37037037037037</c:v>
                </c:pt>
                <c:pt idx="3">
                  <c:v>0.37037037037037</c:v>
                </c:pt>
              </c:numCache>
            </c:numRef>
          </c:xVal>
          <c:yVal>
            <c:numRef>
              <c:f>DIBUJO!$AC$4:$AC$7</c:f>
              <c:numCache>
                <c:formatCode>General</c:formatCode>
                <c:ptCount val="4"/>
                <c:pt idx="0">
                  <c:v>0.901234567901235</c:v>
                </c:pt>
                <c:pt idx="1">
                  <c:v>0.45679012345679</c:v>
                </c:pt>
                <c:pt idx="2">
                  <c:v>0.45679012345679</c:v>
                </c:pt>
                <c:pt idx="3">
                  <c:v>0.901234567901235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"Ala izq."</c:f>
              <c:strCache>
                <c:ptCount val="1"/>
                <c:pt idx="0">
                  <c:v>Ala izq.</c:v>
                </c:pt>
              </c:strCache>
            </c:strRef>
          </c:tx>
          <c:spPr>
            <a:solidFill>
              <a:srgbClr val="1f2a44"/>
            </a:solidFill>
            <a:ln w="936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DIBUJO!$AE$4:$AE$5</c:f>
              <c:numCache>
                <c:formatCode>General</c:formatCode>
                <c:ptCount val="2"/>
                <c:pt idx="0">
                  <c:v>-0.345679012345679</c:v>
                </c:pt>
                <c:pt idx="1">
                  <c:v>-0.345679012345679</c:v>
                </c:pt>
              </c:numCache>
            </c:numRef>
          </c:xVal>
          <c:yVal>
            <c:numRef>
              <c:f>DIBUJO!$AF$4:$AF$5</c:f>
              <c:numCache>
                <c:formatCode>General</c:formatCode>
                <c:ptCount val="2"/>
                <c:pt idx="0">
                  <c:v>0.45679012345679</c:v>
                </c:pt>
                <c:pt idx="1">
                  <c:v>0.901234567901235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"Ala der."</c:f>
              <c:strCache>
                <c:ptCount val="1"/>
                <c:pt idx="0">
                  <c:v>Ala der.</c:v>
                </c:pt>
              </c:strCache>
            </c:strRef>
          </c:tx>
          <c:spPr>
            <a:solidFill>
              <a:srgbClr val="1f2a44"/>
            </a:solidFill>
            <a:ln w="936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DIBUJO!$AH$4:$AH$5</c:f>
              <c:numCache>
                <c:formatCode>General</c:formatCode>
                <c:ptCount val="2"/>
                <c:pt idx="0">
                  <c:v>0.345679012345679</c:v>
                </c:pt>
                <c:pt idx="1">
                  <c:v>0.345679012345679</c:v>
                </c:pt>
              </c:numCache>
            </c:numRef>
          </c:xVal>
          <c:yVal>
            <c:numRef>
              <c:f>DIBUJO!$AI$4:$AI$5</c:f>
              <c:numCache>
                <c:formatCode>General</c:formatCode>
                <c:ptCount val="2"/>
                <c:pt idx="0">
                  <c:v>0.45679012345679</c:v>
                </c:pt>
                <c:pt idx="1">
                  <c:v>0.901234567901235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"Perno T"</c:f>
              <c:strCache>
                <c:ptCount val="1"/>
                <c:pt idx="0">
                  <c:v>Perno T</c:v>
                </c:pt>
              </c:strCache>
            </c:strRef>
          </c:tx>
          <c:spPr>
            <a:solidFill>
              <a:srgbClr val="c00000"/>
            </a:solidFill>
            <a:ln w="255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DIBUJO!$AK$4:$AK$5</c:f>
              <c:numCache>
                <c:formatCode>General</c:formatCode>
                <c:ptCount val="2"/>
                <c:pt idx="0">
                  <c:v>-0.51440329218107</c:v>
                </c:pt>
                <c:pt idx="1">
                  <c:v>-0.51440329218107</c:v>
                </c:pt>
              </c:numCache>
            </c:numRef>
          </c:xVal>
          <c:yVal>
            <c:numRef>
              <c:f>DIBUJO!$AL$4:$AL$5</c:f>
              <c:numCache>
                <c:formatCode>General</c:formatCode>
                <c:ptCount val="2"/>
                <c:pt idx="0">
                  <c:v>0.539094650205761</c:v>
                </c:pt>
                <c:pt idx="1">
                  <c:v>-0.695473251028807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"Perno C"</c:f>
              <c:strCache>
                <c:ptCount val="1"/>
                <c:pt idx="0">
                  <c:v>Perno C</c:v>
                </c:pt>
              </c:strCache>
            </c:strRef>
          </c:tx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DIBUJO!$AN$4:$AN$5</c:f>
              <c:numCache>
                <c:formatCode>General</c:formatCode>
                <c:ptCount val="2"/>
                <c:pt idx="0">
                  <c:v>0.51440329218107</c:v>
                </c:pt>
                <c:pt idx="1">
                  <c:v>0.51440329218107</c:v>
                </c:pt>
              </c:numCache>
            </c:numRef>
          </c:xVal>
          <c:yVal>
            <c:numRef>
              <c:f>DIBUJO!$AO$4:$AO$5</c:f>
              <c:numCache>
                <c:formatCode>General</c:formatCode>
                <c:ptCount val="2"/>
                <c:pt idx="0">
                  <c:v>0.539094650205761</c:v>
                </c:pt>
                <c:pt idx="1">
                  <c:v>-0.695473251028807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"Tuercas"</c:f>
              <c:strCache>
                <c:ptCount val="1"/>
                <c:pt idx="0">
                  <c:v>Tuercas</c:v>
                </c:pt>
              </c:strCache>
            </c:strRef>
          </c:tx>
          <c:spPr>
            <a:solidFill>
              <a:srgbClr val="404040"/>
            </a:solidFill>
            <a:ln w="28440">
              <a:noFill/>
            </a:ln>
          </c:spPr>
          <c:marker>
            <c:symbol val="square"/>
            <c:size val="7"/>
            <c:spPr>
              <a:solidFill>
                <a:srgbClr val="4040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DIBUJO!$AQ$4:$AQ$7</c:f>
              <c:numCache>
                <c:formatCode>General</c:formatCode>
                <c:ptCount val="4"/>
                <c:pt idx="0">
                  <c:v>-0.51440329218107</c:v>
                </c:pt>
                <c:pt idx="1">
                  <c:v>0.51440329218107</c:v>
                </c:pt>
                <c:pt idx="2">
                  <c:v>-0.51440329218107</c:v>
                </c:pt>
                <c:pt idx="3">
                  <c:v>0.51440329218107</c:v>
                </c:pt>
              </c:numCache>
            </c:numRef>
          </c:xVal>
          <c:yVal>
            <c:numRef>
              <c:f>DIBUJO!$AR$4:$AR$7</c:f>
              <c:numCache>
                <c:formatCode>General</c:formatCode>
                <c:ptCount val="4"/>
                <c:pt idx="0">
                  <c:v>-0.695473251028807</c:v>
                </c:pt>
                <c:pt idx="1">
                  <c:v>-0.695473251028807</c:v>
                </c:pt>
                <c:pt idx="2">
                  <c:v>0.477366255144033</c:v>
                </c:pt>
                <c:pt idx="3">
                  <c:v>0.477366255144033</c:v>
                </c:pt>
              </c:numCache>
            </c:numRef>
          </c:yVal>
          <c:smooth val="0"/>
        </c:ser>
        <c:axId val="33596590"/>
        <c:axId val="78851836"/>
      </c:scatterChart>
      <c:valAx>
        <c:axId val="33596590"/>
        <c:scaling>
          <c:orientation val="minMax"/>
          <c:max val="1"/>
          <c:min val="-1"/>
        </c:scaling>
        <c:delete val="0"/>
        <c:axPos val="b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51836"/>
        <c:crosses val="autoZero"/>
        <c:crossBetween val="midCat"/>
      </c:valAx>
      <c:valAx>
        <c:axId val="78851836"/>
        <c:scaling>
          <c:orientation val="minMax"/>
          <c:max val="1"/>
          <c:min val="-1"/>
        </c:scaling>
        <c:delete val="0"/>
        <c:axPos val="l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59659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6</xdr:row>
      <xdr:rowOff>0</xdr:rowOff>
    </xdr:from>
    <xdr:to>
      <xdr:col>8</xdr:col>
      <xdr:colOff>402120</xdr:colOff>
      <xdr:row>18</xdr:row>
      <xdr:rowOff>89640</xdr:rowOff>
    </xdr:to>
    <xdr:graphicFrame>
      <xdr:nvGraphicFramePr>
        <xdr:cNvPr id="0" name="Chart 1"/>
        <xdr:cNvGraphicFramePr/>
      </xdr:nvGraphicFramePr>
      <xdr:xfrm>
        <a:off x="4688280" y="1276200"/>
        <a:ext cx="2375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49680</xdr:colOff>
      <xdr:row>18</xdr:row>
      <xdr:rowOff>89640</xdr:rowOff>
    </xdr:to>
    <xdr:graphicFrame>
      <xdr:nvGraphicFramePr>
        <xdr:cNvPr id="1" name="Chart 2"/>
        <xdr:cNvGraphicFramePr/>
      </xdr:nvGraphicFramePr>
      <xdr:xfrm>
        <a:off x="7437240" y="1276200"/>
        <a:ext cx="2375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U53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31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0.51"/>
    <col collapsed="false" customWidth="true" hidden="false" outlineLevel="0" max="6" min="6" style="0" width="1.51"/>
    <col collapsed="false" customWidth="true" hidden="false" outlineLevel="0" max="7" min="7" style="0" width="17"/>
    <col collapsed="false" customWidth="true" hidden="false" outlineLevel="0" max="12" min="8" style="0" width="11"/>
    <col collapsed="false" customWidth="true" hidden="false" outlineLevel="0" max="13" min="13" style="0" width="1.51"/>
    <col collapsed="false" customWidth="true" hidden="false" outlineLevel="0" max="14" min="14" style="0" width="34"/>
    <col collapsed="false" customWidth="true" hidden="false" outlineLevel="0" max="15" min="15" style="0" width="15"/>
    <col collapsed="false" customWidth="true" hidden="false" outlineLevel="0" max="17" min="16" style="0" width="10"/>
    <col collapsed="false" customWidth="true" hidden="false" outlineLevel="0" max="18" min="18" style="0" width="11"/>
    <col collapsed="false" customWidth="true" hidden="false" outlineLevel="0" max="19" min="19" style="0" width="8"/>
    <col collapsed="false" customWidth="true" hidden="false" outlineLevel="0" max="21" min="20" style="0" width="12"/>
  </cols>
  <sheetData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5" hidden="false" customHeight="false" outlineLevel="0" collapsed="false">
      <c r="B4" s="3" t="s">
        <v>2</v>
      </c>
      <c r="C4" s="4" t="s">
        <v>3</v>
      </c>
      <c r="D4" s="3" t="s">
        <v>4</v>
      </c>
      <c r="E4" s="5" t="s">
        <v>3</v>
      </c>
      <c r="G4" s="3" t="s">
        <v>5</v>
      </c>
    </row>
    <row r="6" customFormat="false" ht="15" hidden="false" customHeight="false" outlineLevel="0" collapsed="false">
      <c r="B6" s="2" t="s">
        <v>6</v>
      </c>
      <c r="C6" s="2"/>
      <c r="D6" s="2"/>
      <c r="E6" s="2"/>
      <c r="G6" s="6" t="s">
        <v>7</v>
      </c>
      <c r="H6" s="6"/>
      <c r="I6" s="6"/>
      <c r="J6" s="6" t="s">
        <v>8</v>
      </c>
      <c r="K6" s="6"/>
      <c r="L6" s="6"/>
      <c r="N6" s="2" t="s">
        <v>9</v>
      </c>
      <c r="O6" s="2"/>
      <c r="P6" s="2"/>
      <c r="Q6" s="2"/>
      <c r="R6" s="2"/>
      <c r="S6" s="2"/>
      <c r="T6" s="2"/>
      <c r="U6" s="2"/>
    </row>
    <row r="7" customFormat="false" ht="15" hidden="false" customHeight="false" outlineLevel="0" collapsed="false">
      <c r="B7" s="7" t="s">
        <v>10</v>
      </c>
      <c r="C7" s="8" t="s">
        <v>11</v>
      </c>
      <c r="D7" s="8"/>
      <c r="E7" s="8"/>
      <c r="N7" s="9" t="str">
        <f aca="false">IF(COUNT(S12:S34)=0,"SIN CARGAS",IF(MAX(S12:S34)&gt;1,"✖  NO CUMPLE — ratio máx. "&amp;TEXT(MAX(S12:S34),"0.00"),IF(MAX(S12:S34)&gt;lim_verde,"▲  CUMPLE AL LÍMITE — ratio máx. "&amp;TEXT(MAX(S12:S34),"0.00"),"✔  CUMPLE — ratio máx. "&amp;TEXT(MAX(S12:S34),"0.00"))))</f>
        <v>✔  CUMPLE — ratio máx. 0.85</v>
      </c>
      <c r="O7" s="9"/>
      <c r="P7" s="9"/>
      <c r="Q7" s="9"/>
      <c r="R7" s="9"/>
      <c r="S7" s="9"/>
      <c r="T7" s="9"/>
      <c r="U7" s="9"/>
    </row>
    <row r="8" customFormat="false" ht="15" hidden="false" customHeight="false" outlineLevel="0" collapsed="false">
      <c r="B8" s="7" t="s">
        <v>12</v>
      </c>
      <c r="C8" s="8" t="s">
        <v>13</v>
      </c>
      <c r="D8" s="8"/>
      <c r="E8" s="8"/>
      <c r="N8" s="9"/>
      <c r="O8" s="9"/>
      <c r="P8" s="9"/>
      <c r="Q8" s="9"/>
      <c r="R8" s="9"/>
      <c r="S8" s="9"/>
      <c r="T8" s="9"/>
      <c r="U8" s="9"/>
    </row>
    <row r="9" customFormat="false" ht="15" hidden="false" customHeight="false" outlineLevel="0" collapsed="false">
      <c r="B9" s="7" t="s">
        <v>14</v>
      </c>
      <c r="C9" s="10" t="n">
        <v>0.9</v>
      </c>
      <c r="D9" s="11"/>
    </row>
    <row r="10" customFormat="false" ht="15" hidden="false" customHeight="false" outlineLevel="0" collapsed="false">
      <c r="B10" s="2" t="s">
        <v>15</v>
      </c>
      <c r="C10" s="2"/>
      <c r="D10" s="2"/>
      <c r="E10" s="2"/>
      <c r="N10" s="12" t="s">
        <v>16</v>
      </c>
      <c r="O10" s="12" t="s">
        <v>17</v>
      </c>
      <c r="P10" s="12" t="s">
        <v>18</v>
      </c>
      <c r="Q10" s="12" t="s">
        <v>19</v>
      </c>
      <c r="R10" s="12" t="s">
        <v>20</v>
      </c>
      <c r="S10" s="12" t="s">
        <v>21</v>
      </c>
      <c r="T10" s="12" t="s">
        <v>22</v>
      </c>
      <c r="U10" s="12" t="s">
        <v>23</v>
      </c>
    </row>
    <row r="11" customFormat="false" ht="15" hidden="false" customHeight="false" outlineLevel="0" collapsed="false">
      <c r="B11" s="7" t="s">
        <v>24</v>
      </c>
      <c r="C11" s="13" t="s">
        <v>25</v>
      </c>
      <c r="D11" s="13"/>
      <c r="E11" s="14" t="s">
        <v>26</v>
      </c>
      <c r="N11" s="15" t="s">
        <v>27</v>
      </c>
      <c r="O11" s="15"/>
      <c r="P11" s="15"/>
      <c r="Q11" s="15"/>
      <c r="R11" s="15"/>
      <c r="S11" s="15"/>
      <c r="T11" s="15"/>
      <c r="U11" s="15"/>
    </row>
    <row r="12" customFormat="false" ht="15" hidden="false" customHeight="false" outlineLevel="0" collapsed="false">
      <c r="B12" s="7" t="s">
        <v>28</v>
      </c>
      <c r="C12" s="16" t="n">
        <f aca="false">IF(col_perfil="ARMADO (flejes soldados)",E12,INDEX(CATALOGOS!$B$5:$B$60,MATCH(col_perfil,CATALOGOS!$A$5:$A$60,0)))</f>
        <v>360</v>
      </c>
      <c r="D12" s="11" t="s">
        <v>29</v>
      </c>
      <c r="E12" s="13" t="n">
        <v>350</v>
      </c>
      <c r="N12" s="17" t="s">
        <v>30</v>
      </c>
      <c r="O12" s="18" t="s">
        <v>31</v>
      </c>
      <c r="P12" s="19" t="n">
        <f aca="false">INDEX(CALCULO!$D$93:$M$93,MATCH(MAX(CALCULO!$D$92:$M$92),CALCULO!$D$92:$M$92,0))</f>
        <v>11</v>
      </c>
      <c r="Q12" s="19" t="n">
        <f aca="false">INDEX(CALCULO!$D$94:$M$94,MATCH(MAX(CALCULO!$D$92:$M$92),CALCULO!$D$92:$M$92,0))</f>
        <v>105.2926875</v>
      </c>
      <c r="R12" s="20" t="str">
        <f aca="false">IF(INDEX(CALCULO!$D$88:$M$88,MATCH(MAX(CALCULO!$D$92:$M$92),CALCULO!$D$92:$M$92,0))=2,"Tonf·m","kgf/cm²")</f>
        <v>Tonf·m</v>
      </c>
      <c r="S12" s="21" t="n">
        <f aca="false">MAX(CALCULO!$D$92:$M$92)</f>
        <v>0.104470692705987</v>
      </c>
      <c r="T12" s="22" t="str">
        <f aca="false">IF(ISNUMBER(S12),IF(S12&gt;1,"NO CUMPLE",IF(S12&gt;lim_verde,"AL LÍMITE","CUMPLE")),"N/A")</f>
        <v>CUMPLE</v>
      </c>
      <c r="U12" s="23" t="str">
        <f aca="false">IF(ISNUMBER(S12),INDEX(CALCULO!$D$81:$M$81,MATCH(MAX(CALCULO!$D$92:$M$92),CALCULO!$D$92:$M$92,0)),"—")</f>
        <v>1.2D+1.0E+L</v>
      </c>
    </row>
    <row r="13" customFormat="false" ht="15" hidden="false" customHeight="false" outlineLevel="0" collapsed="false">
      <c r="B13" s="7" t="s">
        <v>32</v>
      </c>
      <c r="C13" s="16" t="n">
        <f aca="false">IF(col_perfil="ARMADO (flejes soldados)",E13,INDEX(CATALOGOS!$C$5:$C$60,MATCH(col_perfil,CATALOGOS!$A$5:$A$60,0)))</f>
        <v>180</v>
      </c>
      <c r="D13" s="11" t="s">
        <v>29</v>
      </c>
      <c r="E13" s="13" t="n">
        <v>200</v>
      </c>
      <c r="N13" s="17" t="s">
        <v>33</v>
      </c>
      <c r="O13" s="18" t="s">
        <v>34</v>
      </c>
      <c r="P13" s="24" t="n">
        <f aca="false">INDEX(CALCULO!$D$98:$M$98,MATCH(MAX(CALCULO!$D$100:$M$100),CALCULO!$D$100:$M$100,0))</f>
        <v>5869.4812481393</v>
      </c>
      <c r="Q13" s="24" t="n">
        <f aca="false">p_phiMn</f>
        <v>6973.3125</v>
      </c>
      <c r="R13" s="23" t="s">
        <v>35</v>
      </c>
      <c r="S13" s="21" t="n">
        <f aca="false">MAX(CALCULO!$D$100:$M$100)</f>
        <v>0.841706326532662</v>
      </c>
      <c r="T13" s="22" t="str">
        <f aca="false">IF(ISNUMBER(S13),IF(S13&gt;1,"NO CUMPLE",IF(S13&gt;lim_verde,"AL LÍMITE","CUMPLE")),"N/A")</f>
        <v>CUMPLE</v>
      </c>
      <c r="U13" s="23" t="str">
        <f aca="false">IF(ISNUMBER(S13),INDEX(CALCULO!$D$81:$M$81,MATCH(MAX(CALCULO!$D$100:$M$100),CALCULO!$D$100:$M$100,0)),"—")</f>
        <v>1.2D+1.0E+L</v>
      </c>
    </row>
    <row r="14" customFormat="false" ht="15" hidden="false" customHeight="false" outlineLevel="0" collapsed="false">
      <c r="B14" s="7" t="s">
        <v>36</v>
      </c>
      <c r="C14" s="16" t="n">
        <f aca="false">IF(col_perfil="ARMADO (flejes soldados)",E14,INDEX(CATALOGOS!$D$5:$D$60,MATCH(col_perfil,CATALOGOS!$A$5:$A$60,0)))</f>
        <v>6</v>
      </c>
      <c r="D14" s="11" t="s">
        <v>29</v>
      </c>
      <c r="E14" s="13" t="n">
        <v>8</v>
      </c>
      <c r="N14" s="17" t="s">
        <v>37</v>
      </c>
      <c r="O14" s="18" t="s">
        <v>38</v>
      </c>
      <c r="P14" s="24" t="n">
        <f aca="false">INDEX(CALCULO!$D$99:$M$99,MATCH(MAX(CALCULO!$D$101:$M$101),CALCULO!$D$101:$M$101,0))</f>
        <v>2807.49530147518</v>
      </c>
      <c r="Q14" s="24" t="n">
        <f aca="false">p_phiMn</f>
        <v>6973.3125</v>
      </c>
      <c r="R14" s="23" t="s">
        <v>35</v>
      </c>
      <c r="S14" s="21" t="n">
        <f aca="false">MAX(CALCULO!$D$101:$M$101)</f>
        <v>0.402605691552642</v>
      </c>
      <c r="T14" s="22" t="str">
        <f aca="false">IF(ISNUMBER(S14),IF(S14&gt;1,"NO CUMPLE",IF(S14&gt;lim_verde,"AL LÍMITE","CUMPLE")),"N/A")</f>
        <v>CUMPLE</v>
      </c>
      <c r="U14" s="23" t="str">
        <f aca="false">IF(ISNUMBER(S14),INDEX(CALCULO!$D$81:$M$81,MATCH(MAX(CALCULO!$D$101:$M$101),CALCULO!$D$101:$M$101,0)),"—")</f>
        <v>0.9D+1.0E</v>
      </c>
    </row>
    <row r="15" customFormat="false" ht="15" hidden="false" customHeight="false" outlineLevel="0" collapsed="false">
      <c r="B15" s="7" t="s">
        <v>39</v>
      </c>
      <c r="C15" s="16" t="n">
        <f aca="false">IF(col_perfil="ARMADO (flejes soldados)",E15,INDEX(CATALOGOS!$E$5:$E$60,MATCH(col_perfil,CATALOGOS!$A$5:$A$60,0)))</f>
        <v>12</v>
      </c>
      <c r="D15" s="11" t="s">
        <v>29</v>
      </c>
      <c r="E15" s="13" t="n">
        <v>12</v>
      </c>
      <c r="N15" s="15" t="s">
        <v>40</v>
      </c>
      <c r="O15" s="15"/>
      <c r="P15" s="15"/>
      <c r="Q15" s="15"/>
      <c r="R15" s="15"/>
      <c r="S15" s="15"/>
      <c r="T15" s="15"/>
      <c r="U15" s="15"/>
    </row>
    <row r="16" customFormat="false" ht="15" hidden="false" customHeight="false" outlineLevel="0" collapsed="false">
      <c r="B16" s="2" t="s">
        <v>41</v>
      </c>
      <c r="C16" s="2"/>
      <c r="D16" s="2"/>
      <c r="E16" s="2"/>
      <c r="N16" s="17" t="s">
        <v>42</v>
      </c>
      <c r="O16" s="18" t="s">
        <v>43</v>
      </c>
      <c r="P16" s="19" t="n">
        <f aca="false">INDEX(CALCULO!$D$103:$M$103,MATCH(MAX(CALCULO!$D$105:$M$105),CALCULO!$D$105:$M$105,0))/1000</f>
        <v>7.38814553019785</v>
      </c>
      <c r="Q16" s="19" t="n">
        <f aca="false">s_phiNsa/1000</f>
        <v>15.4464768344154</v>
      </c>
      <c r="R16" s="23" t="s">
        <v>44</v>
      </c>
      <c r="S16" s="21" t="n">
        <f aca="false">MAX(CALCULO!$D$105:$M$105)</f>
        <v>0.478306193017217</v>
      </c>
      <c r="T16" s="22" t="str">
        <f aca="false">IF(ISNUMBER(S16),IF(S16&gt;1,"NO CUMPLE",IF(S16&gt;lim_verde,"AL LÍMITE","CUMPLE")),"N/A")</f>
        <v>CUMPLE</v>
      </c>
      <c r="U16" s="23" t="str">
        <f aca="false">IF(ISNUMBER(S16),INDEX(CALCULO!$D$81:$M$81,MATCH(MAX(CALCULO!$D$105:$M$105),CALCULO!$D$105:$M$105,0)),"—")</f>
        <v>0.9D+1.0E</v>
      </c>
    </row>
    <row r="17" customFormat="false" ht="15" hidden="false" customHeight="false" outlineLevel="0" collapsed="false">
      <c r="B17" s="7" t="s">
        <v>45</v>
      </c>
      <c r="C17" s="13" t="s">
        <v>46</v>
      </c>
      <c r="D17" s="13"/>
      <c r="N17" s="17" t="str">
        <f aca="false">IF(hp_usar="Sí","Refuerzo de anclaje (hairpins)","Arrancamiento del concreto (grupo)")</f>
        <v>Refuerzo de anclaje (hairpins)</v>
      </c>
      <c r="O17" s="18" t="str">
        <f aca="false">IF(hp_usar="Sí","ACI §17.5.2.1","ACI §17.6.2")</f>
        <v>ACI §17.5.2.1</v>
      </c>
      <c r="P17" s="19" t="n">
        <f aca="false">INDEX(CALCULO!$D$110:$M$110,MATCH(MAX(CALCULO!$D$109:$M$109),CALCULO!$D$109:$M$109,0))</f>
        <v>14.7762910603957</v>
      </c>
      <c r="Q17" s="19" t="n">
        <f aca="false">INDEX(CALCULO!$D$111:$M$111,MATCH(MAX(CALCULO!$D$109:$M$109),CALCULO!$D$109:$M$109,0))</f>
        <v>25.3386</v>
      </c>
      <c r="R17" s="23" t="s">
        <v>44</v>
      </c>
      <c r="S17" s="21" t="n">
        <f aca="false">MAX(CALCULO!$D$109:$M$109)</f>
        <v>0.583153412595633</v>
      </c>
      <c r="T17" s="22" t="str">
        <f aca="false">IF(ISNUMBER(S17),IF(S17&gt;1,"NO CUMPLE",IF(S17&gt;lim_verde,"AL LÍMITE","CUMPLE")),"N/A")</f>
        <v>CUMPLE</v>
      </c>
      <c r="U17" s="23" t="str">
        <f aca="false">IF(ISNUMBER(S17),INDEX(CALCULO!$D$81:$M$81,MATCH(MAX(CALCULO!$D$109:$M$109),CALCULO!$D$109:$M$109,0)),"—")</f>
        <v>0.9D+1.0E</v>
      </c>
    </row>
    <row r="18" customFormat="false" ht="15" hidden="false" customHeight="false" outlineLevel="0" collapsed="false">
      <c r="B18" s="7" t="s">
        <v>47</v>
      </c>
      <c r="C18" s="25" t="n">
        <f aca="false">INDEX(CATALOGOS!$H$5:$H$20,MATCH(pl_acero,CATALOGOS!$G$5:$G$20,0))</f>
        <v>2530</v>
      </c>
      <c r="D18" s="11" t="s">
        <v>48</v>
      </c>
      <c r="N18" s="17" t="s">
        <v>49</v>
      </c>
      <c r="O18" s="18" t="s">
        <v>50</v>
      </c>
      <c r="P18" s="19" t="n">
        <f aca="false">INDEX(CALCULO!$D$103:$M$103,MATCH(MAX(CALCULO!$D$112:$M$112),CALCULO!$D$112:$M$112,0))/1000</f>
        <v>7.38814553019785</v>
      </c>
      <c r="Q18" s="19" t="n">
        <f aca="false">po_phiNp/1000</f>
        <v>33.1113220468601</v>
      </c>
      <c r="R18" s="23" t="s">
        <v>44</v>
      </c>
      <c r="S18" s="21" t="n">
        <f aca="false">MAX(CALCULO!$D$112:$M$112)</f>
        <v>0.223130490523512</v>
      </c>
      <c r="T18" s="22" t="str">
        <f aca="false">IF(ISNUMBER(S18),IF(S18&gt;1,"NO CUMPLE",IF(S18&gt;lim_verde,"AL LÍMITE","CUMPLE")),"N/A")</f>
        <v>CUMPLE</v>
      </c>
      <c r="U18" s="23" t="str">
        <f aca="false">IF(ISNUMBER(S18),INDEX(CALCULO!$D$81:$M$81,MATCH(MAX(CALCULO!$D$112:$M$112),CALCULO!$D$112:$M$112,0)),"—")</f>
        <v>0.9D+1.0E</v>
      </c>
    </row>
    <row r="19" customFormat="false" ht="15" hidden="false" customHeight="false" outlineLevel="0" collapsed="false">
      <c r="B19" s="7" t="s">
        <v>51</v>
      </c>
      <c r="C19" s="13" t="n">
        <v>600</v>
      </c>
      <c r="D19" s="11" t="s">
        <v>29</v>
      </c>
      <c r="N19" s="17" t="s">
        <v>52</v>
      </c>
      <c r="O19" s="18" t="s">
        <v>53</v>
      </c>
      <c r="P19" s="19" t="str">
        <f aca="false">IF(AND(sf_apF=0,sf_apS=0),"—",INDEX(CALCULO!$D$116:$M$116,MATCH(MAX(CALCULO!$D$115:$M$115),CALCULO!$D$115:$M$115,0)))</f>
        <v>—</v>
      </c>
      <c r="Q19" s="19" t="str">
        <f aca="false">IF(AND(sf_apF=0,sf_apS=0),"—",INDEX(CALCULO!$D$117:$M$117,MATCH(MAX(CALCULO!$D$115:$M$115),CALCULO!$D$115:$M$115,0)))</f>
        <v>—</v>
      </c>
      <c r="R19" s="23" t="s">
        <v>44</v>
      </c>
      <c r="S19" s="21" t="str">
        <f aca="false">IF(AND(sf_apF=0,sf_apS=0),"N/A",MAX(CALCULO!$D$115:$M$115))</f>
        <v>N/A</v>
      </c>
      <c r="T19" s="22" t="str">
        <f aca="false">IF(ISNUMBER(S19),IF(S19&gt;1,"NO CUMPLE",IF(S19&gt;lim_verde,"AL LÍMITE","CUMPLE")),"N/A")</f>
        <v>N/A</v>
      </c>
      <c r="U19" s="23" t="str">
        <f aca="false">IF(ISNUMBER(S19),INDEX(CALCULO!$D$81:$M$81,MATCH(MAX(CALCULO!$D$115:$M$115),CALCULO!$D$115:$M$115,0)),"—")</f>
        <v>—</v>
      </c>
    </row>
    <row r="20" customFormat="false" ht="15" hidden="false" customHeight="false" outlineLevel="0" collapsed="false">
      <c r="B20" s="7" t="s">
        <v>54</v>
      </c>
      <c r="C20" s="13" t="n">
        <v>400</v>
      </c>
      <c r="D20" s="11" t="s">
        <v>29</v>
      </c>
      <c r="N20" s="15" t="s">
        <v>55</v>
      </c>
      <c r="O20" s="15"/>
      <c r="P20" s="15"/>
      <c r="Q20" s="15"/>
      <c r="R20" s="15"/>
      <c r="S20" s="15"/>
      <c r="T20" s="15"/>
      <c r="U20" s="15"/>
    </row>
    <row r="21" customFormat="false" ht="15" hidden="false" customHeight="false" outlineLevel="0" collapsed="false">
      <c r="B21" s="7" t="s">
        <v>56</v>
      </c>
      <c r="C21" s="13" t="n">
        <v>35</v>
      </c>
      <c r="D21" s="11" t="s">
        <v>29</v>
      </c>
      <c r="G21" s="2" t="s">
        <v>57</v>
      </c>
      <c r="H21" s="2"/>
      <c r="I21" s="2"/>
      <c r="J21" s="2"/>
      <c r="K21" s="2"/>
      <c r="L21" s="2"/>
      <c r="N21" s="17" t="s">
        <v>42</v>
      </c>
      <c r="O21" s="18" t="s">
        <v>58</v>
      </c>
      <c r="P21" s="19" t="n">
        <f aca="false">INDEX(CALCULO!$D$118:$M$118,MATCH(MAX(CALCULO!$D$119:$M$119),CALCULO!$D$119:$M$119,0))/pb_nv/1000</f>
        <v>0.875</v>
      </c>
      <c r="Q21" s="19" t="n">
        <f aca="false">s_phiVsa/1000</f>
        <v>6.42573436311679</v>
      </c>
      <c r="R21" s="23" t="s">
        <v>44</v>
      </c>
      <c r="S21" s="21" t="n">
        <f aca="false">MAX(CALCULO!$D$119:$M$119)</f>
        <v>0.136171206363965</v>
      </c>
      <c r="T21" s="22" t="str">
        <f aca="false">IF(ISNUMBER(S21),IF(S21&gt;1,"NO CUMPLE",IF(S21&gt;lim_verde,"AL LÍMITE","CUMPLE")),"N/A")</f>
        <v>CUMPLE</v>
      </c>
      <c r="U21" s="23" t="str">
        <f aca="false">IF(ISNUMBER(S21),INDEX(CALCULO!$D$81:$M$81,MATCH(MAX(CALCULO!$D$119:$M$119),CALCULO!$D$119:$M$119,0)),"—")</f>
        <v>1.2D+1.0E+L</v>
      </c>
    </row>
    <row r="22" customFormat="false" ht="15" hidden="false" customHeight="false" outlineLevel="0" collapsed="false">
      <c r="B22" s="7" t="s">
        <v>59</v>
      </c>
      <c r="C22" s="13" t="n">
        <v>25</v>
      </c>
      <c r="D22" s="11" t="s">
        <v>29</v>
      </c>
      <c r="G22" s="26" t="s">
        <v>60</v>
      </c>
      <c r="H22" s="26" t="s">
        <v>61</v>
      </c>
      <c r="I22" s="26" t="s">
        <v>62</v>
      </c>
      <c r="J22" s="26" t="s">
        <v>63</v>
      </c>
      <c r="K22" s="26" t="s">
        <v>64</v>
      </c>
      <c r="L22" s="26" t="s">
        <v>65</v>
      </c>
      <c r="N22" s="17" t="s">
        <v>66</v>
      </c>
      <c r="O22" s="18" t="s">
        <v>67</v>
      </c>
      <c r="P22" s="19" t="n">
        <f aca="false">INDEX(CALCULO!$D$123:$M$123,MATCH(MAX(CALCULO!$D$122:$M$122),CALCULO!$D$122:$M$122,0))</f>
        <v>3.5</v>
      </c>
      <c r="Q22" s="19" t="n">
        <f aca="false">INDEX(CALCULO!$D$124:$M$124,MATCH(MAX(CALCULO!$D$122:$M$122),CALCULO!$D$122:$M$122,0))</f>
        <v>7.96819422522037</v>
      </c>
      <c r="R22" s="23" t="s">
        <v>44</v>
      </c>
      <c r="S22" s="21" t="n">
        <f aca="false">MAX(CALCULO!$D$122:$M$122)</f>
        <v>0.439246321195591</v>
      </c>
      <c r="T22" s="22" t="str">
        <f aca="false">IF(ISNUMBER(S22),IF(S22&gt;1,"NO CUMPLE",IF(S22&gt;lim_verde,"AL LÍMITE","CUMPLE")),"N/A")</f>
        <v>CUMPLE</v>
      </c>
      <c r="U22" s="23" t="str">
        <f aca="false">IF(ISNUMBER(S22),INDEX(CALCULO!$D$81:$M$81,MATCH(MAX(CALCULO!$D$122:$M$122),CALCULO!$D$122:$M$122,0)),"—")</f>
        <v>1.2D+1.0E+L</v>
      </c>
    </row>
    <row r="23" customFormat="false" ht="15" hidden="false" customHeight="false" outlineLevel="0" collapsed="false">
      <c r="B23" s="2" t="s">
        <v>68</v>
      </c>
      <c r="C23" s="2"/>
      <c r="D23" s="2"/>
      <c r="E23" s="2"/>
      <c r="G23" s="13" t="s">
        <v>69</v>
      </c>
      <c r="H23" s="27" t="n">
        <v>9</v>
      </c>
      <c r="I23" s="27" t="n">
        <v>0.6</v>
      </c>
      <c r="J23" s="27" t="n">
        <v>0.8</v>
      </c>
      <c r="K23" s="28" t="str">
        <f aca="false">CHOOSE(INDEX(CALCULO!$D$88:$M$88,1)+1,"—","e ≤ ecrit","M grande","Levant.")</f>
        <v>e ≤ ecrit</v>
      </c>
      <c r="L23" s="29" t="n">
        <f aca="false">IF(INDEX(CALCULO!$D$85:$M$85,1)=1,INDEX(CALCULO!$D$132:$M$132,1),"—")</f>
        <v>0.0752993693478156</v>
      </c>
      <c r="N23" s="17" t="s">
        <v>70</v>
      </c>
      <c r="O23" s="18" t="s">
        <v>71</v>
      </c>
      <c r="P23" s="19" t="n">
        <f aca="false">INDEX(CALCULO!$D$118:$M$118,MATCH(MAX(CALCULO!$D$125:$M$125),CALCULO!$D$125:$M$125,0))/1000</f>
        <v>3.5</v>
      </c>
      <c r="Q23" s="19" t="n">
        <f aca="false">pr_phiV/1000</f>
        <v>37.90158631322</v>
      </c>
      <c r="R23" s="23" t="s">
        <v>44</v>
      </c>
      <c r="S23" s="21" t="n">
        <f aca="false">MAX(CALCULO!$D$125:$M$125)</f>
        <v>0.0923444198634822</v>
      </c>
      <c r="T23" s="22" t="str">
        <f aca="false">IF(ISNUMBER(S23),IF(S23&gt;1,"NO CUMPLE",IF(S23&gt;lim_verde,"AL LÍMITE","CUMPLE")),"N/A")</f>
        <v>CUMPLE</v>
      </c>
      <c r="U23" s="23" t="str">
        <f aca="false">IF(ISNUMBER(S23),INDEX(CALCULO!$D$81:$M$81,MATCH(MAX(CALCULO!$D$125:$M$125),CALCULO!$D$125:$M$125,0)),"—")</f>
        <v>1.2D+1.0E+L</v>
      </c>
    </row>
    <row r="24" customFormat="false" ht="15" hidden="false" customHeight="false" outlineLevel="0" collapsed="false">
      <c r="B24" s="7" t="s">
        <v>72</v>
      </c>
      <c r="C24" s="13" t="s">
        <v>73</v>
      </c>
      <c r="D24" s="13"/>
      <c r="G24" s="13" t="s">
        <v>74</v>
      </c>
      <c r="H24" s="27" t="n">
        <v>12</v>
      </c>
      <c r="I24" s="27" t="n">
        <v>1.2</v>
      </c>
      <c r="J24" s="27" t="n">
        <v>2.5</v>
      </c>
      <c r="K24" s="28" t="str">
        <f aca="false">CHOOSE(INDEX(CALCULO!$D$88:$M$88,2)+1,"—","e ≤ ecrit","M grande","Levant.")</f>
        <v>e ≤ ecrit</v>
      </c>
      <c r="L24" s="29" t="n">
        <f aca="false">IF(INDEX(CALCULO!$D$85:$M$85,2)=1,INDEX(CALCULO!$D$132:$M$132,2),"—")</f>
        <v>0.195249583843599</v>
      </c>
      <c r="N24" s="17" t="s">
        <v>75</v>
      </c>
      <c r="O24" s="18" t="s">
        <v>76</v>
      </c>
      <c r="P24" s="19" t="n">
        <f aca="false">INDEX(CALCULO!$D$126:$M$126,MATCH(MAX(CALCULO!$D$128:$M$128),CALCULO!$D$128:$M$128,0))</f>
        <v>0.583153412595633</v>
      </c>
      <c r="Q24" s="19" t="n">
        <f aca="false">INDEX(CALCULO!$D$127:$M$127,MATCH(MAX(CALCULO!$D$128:$M$128),CALCULO!$D$128:$M$128,0))</f>
        <v>0.439246321195591</v>
      </c>
      <c r="R24" s="23" t="s">
        <v>77</v>
      </c>
      <c r="S24" s="21" t="n">
        <f aca="false">MAX(CALCULO!$D$128:$M$128)</f>
        <v>0.851999778159353</v>
      </c>
      <c r="T24" s="22" t="str">
        <f aca="false">IF(ISNUMBER(S24),IF(S24&gt;1,"NO CUMPLE",IF(S24&gt;lim_verde,"AL LÍMITE","CUMPLE")),"N/A")</f>
        <v>CUMPLE</v>
      </c>
      <c r="U24" s="23" t="str">
        <f aca="false">IF(ISNUMBER(S24),INDEX(CALCULO!$D$81:$M$81,MATCH(MAX(CALCULO!$D$128:$M$128),CALCULO!$D$128:$M$128,0)),"—")</f>
        <v>0.9D+1.0E</v>
      </c>
    </row>
    <row r="25" customFormat="false" ht="15" hidden="false" customHeight="false" outlineLevel="0" collapsed="false">
      <c r="B25" s="7" t="s">
        <v>78</v>
      </c>
      <c r="C25" s="25" t="n">
        <f aca="false">INDEX(CATALOGOS!$L$5:$L$20,MATCH(pb_mat,CATALOGOS!$K$5:$K$20,0))</f>
        <v>3870</v>
      </c>
      <c r="D25" s="11" t="s">
        <v>48</v>
      </c>
      <c r="G25" s="13" t="s">
        <v>79</v>
      </c>
      <c r="H25" s="27" t="n">
        <v>8</v>
      </c>
      <c r="I25" s="27" t="n">
        <v>3.5</v>
      </c>
      <c r="J25" s="27" t="n">
        <v>9</v>
      </c>
      <c r="K25" s="28" t="str">
        <f aca="false">CHOOSE(INDEX(CALCULO!$D$88:$M$88,3)+1,"—","e ≤ ecrit","M grande","Levant.")</f>
        <v>M grande</v>
      </c>
      <c r="L25" s="29" t="n">
        <f aca="false">IF(INDEX(CALCULO!$D$85:$M$85,3)=1,INDEX(CALCULO!$D$132:$M$132,3),"—")</f>
        <v>0.841706326532662</v>
      </c>
      <c r="N25" s="15" t="s">
        <v>80</v>
      </c>
      <c r="O25" s="15"/>
      <c r="P25" s="15"/>
      <c r="Q25" s="15"/>
      <c r="R25" s="15"/>
      <c r="S25" s="15"/>
      <c r="T25" s="15"/>
      <c r="U25" s="15"/>
    </row>
    <row r="26" customFormat="false" ht="15" hidden="false" customHeight="false" outlineLevel="0" collapsed="false">
      <c r="B26" s="7" t="s">
        <v>81</v>
      </c>
      <c r="C26" s="25" t="n">
        <f aca="false">MIN(INDEX(CATALOGOS!$M$5:$M$20,MATCH(pb_mat,CATALOGOS!$K$5:$K$20,0)),1.9*pb_fya,8790)</f>
        <v>5270</v>
      </c>
      <c r="D26" s="11" t="s">
        <v>48</v>
      </c>
      <c r="G26" s="13" t="s">
        <v>82</v>
      </c>
      <c r="H26" s="27" t="n">
        <v>3</v>
      </c>
      <c r="I26" s="27" t="n">
        <v>3.5</v>
      </c>
      <c r="J26" s="27" t="n">
        <v>8.8</v>
      </c>
      <c r="K26" s="28" t="str">
        <f aca="false">CHOOSE(INDEX(CALCULO!$D$88:$M$88,4)+1,"—","e ≤ ecrit","M grande","Levant.")</f>
        <v>M grande</v>
      </c>
      <c r="L26" s="29" t="n">
        <f aca="false">IF(INDEX(CALCULO!$D$85:$M$85,4)=1,INDEX(CALCULO!$D$132:$M$132,4),"—")</f>
        <v>0.851999778159353</v>
      </c>
      <c r="N26" s="17" t="s">
        <v>83</v>
      </c>
      <c r="O26" s="18" t="s">
        <v>84</v>
      </c>
      <c r="P26" s="19" t="n">
        <f aca="false">INDEX(CALCULO!$D$129:$M$129,MATCH(MAX(CALCULO!$D$130:$M$130),CALCULO!$D$130:$M$130,0))/1000</f>
        <v>24.2646290491118</v>
      </c>
      <c r="Q26" s="19" t="n">
        <f aca="false">w_phiRf/1000</f>
        <v>66.49385904</v>
      </c>
      <c r="R26" s="23" t="s">
        <v>44</v>
      </c>
      <c r="S26" s="21" t="n">
        <f aca="false">MAX(CALCULO!$D$130:$M$130)</f>
        <v>0.364915338039189</v>
      </c>
      <c r="T26" s="22" t="str">
        <f aca="false">IF(ISNUMBER(S26),IF(S26&gt;1,"NO CUMPLE",IF(S26&gt;lim_verde,"AL LÍMITE","CUMPLE")),"N/A")</f>
        <v>CUMPLE</v>
      </c>
      <c r="U26" s="23" t="str">
        <f aca="false">IF(ISNUMBER(S26),INDEX(CALCULO!$D$81:$M$81,MATCH(MAX(CALCULO!$D$130:$M$130),CALCULO!$D$130:$M$130,0)),"—")</f>
        <v>0.9D+1.0E</v>
      </c>
    </row>
    <row r="27" customFormat="false" ht="15" hidden="false" customHeight="false" outlineLevel="0" collapsed="false">
      <c r="B27" s="7" t="s">
        <v>85</v>
      </c>
      <c r="C27" s="13" t="s">
        <v>86</v>
      </c>
      <c r="D27" s="13"/>
      <c r="G27" s="13" t="s">
        <v>87</v>
      </c>
      <c r="H27" s="27" t="n">
        <v>-3.5</v>
      </c>
      <c r="I27" s="27" t="n">
        <v>2</v>
      </c>
      <c r="J27" s="27" t="n">
        <v>2.5</v>
      </c>
      <c r="K27" s="28" t="str">
        <f aca="false">CHOOSE(INDEX(CALCULO!$D$88:$M$88,5)+1,"—","e ≤ ecrit","M grande","Levant.")</f>
        <v>M grande</v>
      </c>
      <c r="L27" s="29" t="n">
        <f aca="false">IF(INDEX(CALCULO!$D$85:$M$85,5)=1,INDEX(CALCULO!$D$132:$M$132,5),"—")</f>
        <v>0.421819184706723</v>
      </c>
      <c r="N27" s="17" t="s">
        <v>88</v>
      </c>
      <c r="O27" s="18" t="s">
        <v>89</v>
      </c>
      <c r="P27" s="19" t="n">
        <f aca="false">INDEX(CALCULO!$D$83:$M$83,MATCH(MAX(CALCULO!$D$131:$M$131),CALCULO!$D$131:$M$131,0))/1000</f>
        <v>3.5</v>
      </c>
      <c r="Q27" s="19" t="n">
        <f aca="false">w_phiRw/1000</f>
        <v>63.11281536</v>
      </c>
      <c r="R27" s="23" t="s">
        <v>44</v>
      </c>
      <c r="S27" s="21" t="n">
        <f aca="false">MAX(CALCULO!$D$131:$M$131)</f>
        <v>0.0554562489414511</v>
      </c>
      <c r="T27" s="22" t="str">
        <f aca="false">IF(ISNUMBER(S27),IF(S27&gt;1,"NO CUMPLE",IF(S27&gt;lim_verde,"AL LÍMITE","CUMPLE")),"N/A")</f>
        <v>CUMPLE</v>
      </c>
      <c r="U27" s="23" t="str">
        <f aca="false">IF(ISNUMBER(S27),INDEX(CALCULO!$D$81:$M$81,MATCH(MAX(CALCULO!$D$131:$M$131),CALCULO!$D$131:$M$131,0)),"—")</f>
        <v>1.2D+1.0E+L</v>
      </c>
    </row>
    <row r="28" customFormat="false" ht="15" hidden="false" customHeight="false" outlineLevel="0" collapsed="false">
      <c r="B28" s="7" t="s">
        <v>90</v>
      </c>
      <c r="C28" s="13" t="n">
        <v>2</v>
      </c>
      <c r="D28" s="11"/>
      <c r="G28" s="13" t="s">
        <v>91</v>
      </c>
      <c r="H28" s="27"/>
      <c r="I28" s="27"/>
      <c r="J28" s="27"/>
      <c r="K28" s="28" t="str">
        <f aca="false">CHOOSE(INDEX(CALCULO!$D$88:$M$88,6)+1,"—","e ≤ ecrit","M grande","Levant.")</f>
        <v>—</v>
      </c>
      <c r="L28" s="29" t="str">
        <f aca="false">IF(INDEX(CALCULO!$D$85:$M$85,6)=1,INDEX(CALCULO!$D$132:$M$132,6),"—")</f>
        <v>—</v>
      </c>
      <c r="N28" s="15" t="s">
        <v>92</v>
      </c>
      <c r="O28" s="15"/>
      <c r="P28" s="15"/>
      <c r="Q28" s="15"/>
      <c r="R28" s="15"/>
      <c r="S28" s="15"/>
      <c r="T28" s="15"/>
      <c r="U28" s="15"/>
    </row>
    <row r="29" customFormat="false" ht="15" hidden="false" customHeight="false" outlineLevel="0" collapsed="false">
      <c r="B29" s="7" t="s">
        <v>93</v>
      </c>
      <c r="C29" s="25" t="n">
        <f aca="false">2*pb_nfila</f>
        <v>4</v>
      </c>
      <c r="D29" s="11"/>
      <c r="G29" s="13" t="s">
        <v>94</v>
      </c>
      <c r="H29" s="27"/>
      <c r="I29" s="27"/>
      <c r="J29" s="27"/>
      <c r="K29" s="28" t="str">
        <f aca="false">CHOOSE(INDEX(CALCULO!$D$88:$M$88,7)+1,"—","e ≤ ecrit","M grande","Levant.")</f>
        <v>—</v>
      </c>
      <c r="L29" s="29" t="str">
        <f aca="false">IF(INDEX(CALCULO!$D$85:$M$85,7)=1,INDEX(CALCULO!$D$132:$M$132,7),"—")</f>
        <v>—</v>
      </c>
      <c r="N29" s="17" t="s">
        <v>95</v>
      </c>
      <c r="O29" s="18" t="s">
        <v>96</v>
      </c>
      <c r="P29" s="30" t="n">
        <f aca="false">4*a_da</f>
        <v>10.16</v>
      </c>
      <c r="Q29" s="30" t="n">
        <f aca="false">IF(a_nf&gt;1,MIN(g_sx,2*g_f),2*g_f)</f>
        <v>30</v>
      </c>
      <c r="R29" s="23" t="s">
        <v>97</v>
      </c>
      <c r="S29" s="21" t="n">
        <f aca="false">(4*a_da)/MAX(IF(a_nf&gt;1,MIN(g_sx,2*g_f),2*g_f),0.001)</f>
        <v>0.338666666666667</v>
      </c>
      <c r="T29" s="22" t="str">
        <f aca="false">IF(ISNUMBER(S29),IF(S29&gt;1,"NO CUMPLE",IF(S29&gt;lim_verde,"AL LÍMITE","CUMPLE")),"N/A")</f>
        <v>CUMPLE</v>
      </c>
      <c r="U29" s="23" t="s">
        <v>98</v>
      </c>
    </row>
    <row r="30" customFormat="false" ht="15" hidden="false" customHeight="false" outlineLevel="0" collapsed="false">
      <c r="B30" s="7" t="s">
        <v>99</v>
      </c>
      <c r="C30" s="13" t="n">
        <v>50</v>
      </c>
      <c r="D30" s="11" t="s">
        <v>29</v>
      </c>
      <c r="G30" s="13" t="s">
        <v>100</v>
      </c>
      <c r="H30" s="27"/>
      <c r="I30" s="27"/>
      <c r="J30" s="27"/>
      <c r="K30" s="28" t="str">
        <f aca="false">CHOOSE(INDEX(CALCULO!$D$88:$M$88,8)+1,"—","e ≤ ecrit","M grande","Levant.")</f>
        <v>—</v>
      </c>
      <c r="L30" s="29" t="str">
        <f aca="false">IF(INDEX(CALCULO!$D$85:$M$85,8)=1,INDEX(CALCULO!$D$132:$M$132,8),"—")</f>
        <v>—</v>
      </c>
      <c r="N30" s="17" t="s">
        <v>101</v>
      </c>
      <c r="O30" s="18" t="s">
        <v>102</v>
      </c>
      <c r="P30" s="30" t="n">
        <f aca="false">MAX(p_N,p_B)</f>
        <v>60</v>
      </c>
      <c r="Q30" s="30" t="n">
        <f aca="false">IF(p_N/ped_Np&gt;=p_B/ped_Bp,ped_Np,ped_Bp)</f>
        <v>90</v>
      </c>
      <c r="R30" s="23" t="s">
        <v>97</v>
      </c>
      <c r="S30" s="21" t="n">
        <f aca="false">MAX(p_N/ped_Np,p_B/ped_Bp)</f>
        <v>0.666666666666667</v>
      </c>
      <c r="T30" s="22" t="str">
        <f aca="false">IF(ISNUMBER(S30),IF(S30&gt;1,"NO CUMPLE",IF(S30&gt;lim_verde,"AL LÍMITE","CUMPLE")),"N/A")</f>
        <v>CUMPLE</v>
      </c>
      <c r="U30" s="23" t="s">
        <v>98</v>
      </c>
    </row>
    <row r="31" customFormat="false" ht="15" hidden="false" customHeight="false" outlineLevel="0" collapsed="false">
      <c r="B31" s="7" t="s">
        <v>103</v>
      </c>
      <c r="C31" s="13" t="n">
        <v>50</v>
      </c>
      <c r="D31" s="11" t="s">
        <v>29</v>
      </c>
      <c r="G31" s="13" t="s">
        <v>104</v>
      </c>
      <c r="H31" s="27"/>
      <c r="I31" s="27"/>
      <c r="J31" s="27"/>
      <c r="K31" s="28" t="str">
        <f aca="false">CHOOSE(INDEX(CALCULO!$D$88:$M$88,9)+1,"—","e ≤ ecrit","M grande","Levant.")</f>
        <v>—</v>
      </c>
      <c r="L31" s="29" t="str">
        <f aca="false">IF(INDEX(CALCULO!$D$85:$M$85,9)=1,INDEX(CALCULO!$D$132:$M$132,9),"—")</f>
        <v>—</v>
      </c>
      <c r="N31" s="17" t="s">
        <v>105</v>
      </c>
      <c r="O31" s="18" t="s">
        <v>106</v>
      </c>
      <c r="P31" s="30" t="n">
        <f aca="false">1.5*a_da</f>
        <v>3.81</v>
      </c>
      <c r="Q31" s="30" t="n">
        <f aca="false">g_f-c_d/2</f>
        <v>7</v>
      </c>
      <c r="R31" s="23" t="s">
        <v>97</v>
      </c>
      <c r="S31" s="21" t="n">
        <f aca="false">(1.5*a_da)/MAX(g_f-c_d/2,0.001)</f>
        <v>0.544285714285714</v>
      </c>
      <c r="T31" s="22" t="str">
        <f aca="false">IF(ISNUMBER(S31),IF(S31&gt;1,"NO CUMPLE",IF(S31&gt;lim_verde,"AL LÍMITE","CUMPLE")),"N/A")</f>
        <v>CUMPLE</v>
      </c>
      <c r="U31" s="23" t="s">
        <v>98</v>
      </c>
    </row>
    <row r="32" customFormat="false" ht="15" hidden="false" customHeight="false" outlineLevel="0" collapsed="false">
      <c r="B32" s="7" t="s">
        <v>107</v>
      </c>
      <c r="C32" s="13" t="n">
        <v>500</v>
      </c>
      <c r="D32" s="11" t="s">
        <v>29</v>
      </c>
      <c r="G32" s="13" t="s">
        <v>108</v>
      </c>
      <c r="H32" s="27"/>
      <c r="I32" s="27"/>
      <c r="J32" s="27"/>
      <c r="K32" s="28" t="str">
        <f aca="false">CHOOSE(INDEX(CALCULO!$D$88:$M$88,10)+1,"—","e ≤ ecrit","M grande","Levant.")</f>
        <v>—</v>
      </c>
      <c r="L32" s="29" t="str">
        <f aca="false">IF(INDEX(CALCULO!$D$85:$M$85,10)=1,INDEX(CALCULO!$D$132:$M$132,10),"—")</f>
        <v>—</v>
      </c>
      <c r="N32" s="17" t="s">
        <v>109</v>
      </c>
      <c r="O32" s="18" t="s">
        <v>110</v>
      </c>
      <c r="P32" s="30" t="n">
        <f aca="false">1.5*a_da</f>
        <v>3.81</v>
      </c>
      <c r="Q32" s="30" t="n">
        <f aca="false">MIN(pb_eN_mm,pb_eB_mm)/10</f>
        <v>5</v>
      </c>
      <c r="R32" s="23" t="s">
        <v>97</v>
      </c>
      <c r="S32" s="21" t="n">
        <f aca="false">(1.5*a_da)/MAX(MIN(pb_eN_mm,pb_eB_mm)/10,0.001)</f>
        <v>0.762</v>
      </c>
      <c r="T32" s="22" t="str">
        <f aca="false">IF(ISNUMBER(S32),IF(S32&gt;1,"NO CUMPLE",IF(S32&gt;lim_verde,"AL LÍMITE","CUMPLE")),"N/A")</f>
        <v>CUMPLE</v>
      </c>
      <c r="U32" s="23" t="s">
        <v>98</v>
      </c>
    </row>
    <row r="33" customFormat="false" ht="15" hidden="false" customHeight="false" outlineLevel="0" collapsed="false">
      <c r="B33" s="7" t="s">
        <v>111</v>
      </c>
      <c r="C33" s="13" t="n">
        <v>70</v>
      </c>
      <c r="D33" s="11" t="s">
        <v>29</v>
      </c>
      <c r="G33" s="31" t="s">
        <v>112</v>
      </c>
      <c r="N33" s="17" t="s">
        <v>113</v>
      </c>
      <c r="O33" s="18" t="s">
        <v>114</v>
      </c>
      <c r="P33" s="30" t="n">
        <f aca="false">IF(MIN(col_tf_mm,pl_tp_mm)&lt;=6,3,IF(MIN(col_tf_mm,pl_tp_mm)&lt;=13,5,IF(MIN(col_tf_mm,pl_tp_mm)&lt;=19,6,8)))</f>
        <v>5</v>
      </c>
      <c r="Q33" s="30" t="n">
        <f aca="false">sold_wf</f>
        <v>8</v>
      </c>
      <c r="R33" s="23" t="s">
        <v>29</v>
      </c>
      <c r="S33" s="21" t="n">
        <f aca="false">(IF(MIN(col_tf_mm,pl_tp_mm)&lt;=6,3,IF(MIN(col_tf_mm,pl_tp_mm)&lt;=13,5,IF(MIN(col_tf_mm,pl_tp_mm)&lt;=19,6,8))))/MAX(sold_wf,0.001)</f>
        <v>0.625</v>
      </c>
      <c r="T33" s="22" t="str">
        <f aca="false">IF(ISNUMBER(S33),IF(S33&gt;1,"NO CUMPLE",IF(S33&gt;lim_verde,"AL LÍMITE","CUMPLE")),"N/A")</f>
        <v>CUMPLE</v>
      </c>
      <c r="U33" s="23" t="s">
        <v>98</v>
      </c>
    </row>
    <row r="34" customFormat="false" ht="15" hidden="false" customHeight="false" outlineLevel="0" collapsed="false">
      <c r="B34" s="7" t="s">
        <v>115</v>
      </c>
      <c r="C34" s="13" t="n">
        <v>12</v>
      </c>
      <c r="D34" s="11" t="s">
        <v>29</v>
      </c>
      <c r="N34" s="17" t="s">
        <v>116</v>
      </c>
      <c r="O34" s="18" t="s">
        <v>114</v>
      </c>
      <c r="P34" s="30" t="n">
        <f aca="false">IF(MIN(col_tw_mm,pl_tp_mm)&lt;=6,3,IF(MIN(col_tw_mm,pl_tp_mm)&lt;=13,5,IF(MIN(col_tw_mm,pl_tp_mm)&lt;=19,6,8)))</f>
        <v>3</v>
      </c>
      <c r="Q34" s="30" t="n">
        <f aca="false">sold_ww</f>
        <v>6</v>
      </c>
      <c r="R34" s="23" t="s">
        <v>29</v>
      </c>
      <c r="S34" s="21" t="n">
        <f aca="false">(IF(MIN(col_tw_mm,pl_tp_mm)&lt;=6,3,IF(MIN(col_tw_mm,pl_tp_mm)&lt;=13,5,IF(MIN(col_tw_mm,pl_tp_mm)&lt;=19,6,8))))/MAX(sold_ww,0.001)</f>
        <v>0.5</v>
      </c>
      <c r="T34" s="22" t="str">
        <f aca="false">IF(ISNUMBER(S34),IF(S34&gt;1,"NO CUMPLE",IF(S34&gt;lim_verde,"AL LÍMITE","CUMPLE")),"N/A")</f>
        <v>CUMPLE</v>
      </c>
      <c r="U34" s="23" t="s">
        <v>98</v>
      </c>
    </row>
    <row r="35" customFormat="false" ht="15" hidden="false" customHeight="false" outlineLevel="0" collapsed="false">
      <c r="B35" s="7" t="s">
        <v>117</v>
      </c>
      <c r="C35" s="13" t="s">
        <v>118</v>
      </c>
      <c r="D35" s="11"/>
      <c r="G35" s="2" t="s">
        <v>119</v>
      </c>
      <c r="H35" s="2"/>
      <c r="I35" s="2"/>
      <c r="J35" s="2"/>
      <c r="K35" s="2"/>
      <c r="L35" s="2"/>
    </row>
    <row r="36" customFormat="false" ht="15" hidden="false" customHeight="false" outlineLevel="0" collapsed="false">
      <c r="B36" s="7" t="s">
        <v>120</v>
      </c>
      <c r="C36" s="13" t="n">
        <v>4</v>
      </c>
      <c r="D36" s="11"/>
      <c r="G36" s="32" t="s">
        <v>121</v>
      </c>
      <c r="H36" s="33" t="s">
        <v>79</v>
      </c>
      <c r="I36" s="33"/>
      <c r="J36" s="34" t="s">
        <v>122</v>
      </c>
      <c r="K36" s="35" t="n">
        <f aca="false">IFERROR(MATCH(H36,cb_nom,0),1)</f>
        <v>3</v>
      </c>
      <c r="N36" s="2" t="s">
        <v>123</v>
      </c>
      <c r="O36" s="2"/>
      <c r="P36" s="2"/>
      <c r="Q36" s="2"/>
      <c r="R36" s="2"/>
      <c r="S36" s="2"/>
      <c r="T36" s="2"/>
      <c r="U36" s="2"/>
    </row>
    <row r="37" customFormat="false" ht="15" hidden="false" customHeight="false" outlineLevel="0" collapsed="false">
      <c r="B37" s="2" t="s">
        <v>124</v>
      </c>
      <c r="C37" s="2"/>
      <c r="D37" s="2"/>
      <c r="E37" s="2"/>
      <c r="G37" s="36" t="s">
        <v>64</v>
      </c>
      <c r="H37" s="36"/>
      <c r="I37" s="36"/>
      <c r="J37" s="37" t="n">
        <f aca="false">INDEX(CALCULO!$D$88:$M$88,det_k)</f>
        <v>2</v>
      </c>
      <c r="K37" s="11"/>
      <c r="L37" s="3" t="str">
        <f aca="false">CHOOSE(J37+1,"inactiva","e ≤ ecrit","momento grande","levantamiento")</f>
        <v>momento grande</v>
      </c>
      <c r="N37" s="38" t="s">
        <v>125</v>
      </c>
      <c r="O37" s="38"/>
      <c r="P37" s="38"/>
      <c r="Q37" s="38"/>
      <c r="R37" s="38"/>
      <c r="S37" s="38"/>
      <c r="T37" s="38"/>
      <c r="U37" s="38"/>
    </row>
    <row r="38" customFormat="false" ht="15" hidden="false" customHeight="false" outlineLevel="0" collapsed="false">
      <c r="B38" s="7" t="s">
        <v>126</v>
      </c>
      <c r="C38" s="13" t="n">
        <v>210</v>
      </c>
      <c r="D38" s="11" t="s">
        <v>48</v>
      </c>
      <c r="G38" s="36" t="s">
        <v>127</v>
      </c>
      <c r="H38" s="36"/>
      <c r="I38" s="36"/>
      <c r="J38" s="39" t="n">
        <f aca="false">INDEX(CALCULO!$D$86:$M$86,det_k)</f>
        <v>112.5</v>
      </c>
      <c r="K38" s="11" t="s">
        <v>97</v>
      </c>
      <c r="N38" s="38" t="s">
        <v>128</v>
      </c>
      <c r="O38" s="38"/>
      <c r="P38" s="38"/>
      <c r="Q38" s="38"/>
      <c r="R38" s="38"/>
      <c r="S38" s="38"/>
      <c r="T38" s="38"/>
      <c r="U38" s="38"/>
    </row>
    <row r="39" customFormat="false" ht="15" hidden="false" customHeight="false" outlineLevel="0" collapsed="false">
      <c r="B39" s="7" t="s">
        <v>129</v>
      </c>
      <c r="C39" s="13" t="n">
        <v>90</v>
      </c>
      <c r="D39" s="11" t="s">
        <v>97</v>
      </c>
      <c r="G39" s="36" t="s">
        <v>130</v>
      </c>
      <c r="H39" s="36"/>
      <c r="I39" s="36"/>
      <c r="J39" s="39" t="n">
        <f aca="false">INDEX(CALCULO!$D$87:$M$87,det_k)</f>
        <v>29.4254111901171</v>
      </c>
      <c r="K39" s="11" t="s">
        <v>97</v>
      </c>
      <c r="N39" s="38" t="s">
        <v>131</v>
      </c>
      <c r="O39" s="38"/>
      <c r="P39" s="38"/>
      <c r="Q39" s="38"/>
      <c r="R39" s="38"/>
      <c r="S39" s="38"/>
      <c r="T39" s="38"/>
      <c r="U39" s="38"/>
    </row>
    <row r="40" customFormat="false" ht="15" hidden="false" customHeight="false" outlineLevel="0" collapsed="false">
      <c r="B40" s="7" t="s">
        <v>132</v>
      </c>
      <c r="C40" s="13" t="n">
        <v>80</v>
      </c>
      <c r="D40" s="11" t="s">
        <v>97</v>
      </c>
      <c r="G40" s="36" t="s">
        <v>133</v>
      </c>
      <c r="H40" s="36"/>
      <c r="I40" s="36"/>
      <c r="J40" s="39" t="n">
        <f aca="false">INDEX(CALCULO!$D$90:$M$90,det_k)</f>
        <v>2.95217435315487</v>
      </c>
      <c r="K40" s="11" t="s">
        <v>97</v>
      </c>
      <c r="N40" s="38" t="s">
        <v>134</v>
      </c>
      <c r="O40" s="38"/>
      <c r="P40" s="38"/>
      <c r="Q40" s="38"/>
      <c r="R40" s="38"/>
      <c r="S40" s="38"/>
      <c r="T40" s="38"/>
      <c r="U40" s="38"/>
    </row>
    <row r="41" customFormat="false" ht="15" hidden="false" customHeight="false" outlineLevel="0" collapsed="false">
      <c r="B41" s="7" t="s">
        <v>135</v>
      </c>
      <c r="C41" s="13" t="s">
        <v>118</v>
      </c>
      <c r="D41" s="11"/>
      <c r="G41" s="36" t="s">
        <v>136</v>
      </c>
      <c r="H41" s="36"/>
      <c r="I41" s="36"/>
      <c r="J41" s="39" t="n">
        <f aca="false">INDEX(CALCULO!$D$91:$M$91,det_k)</f>
        <v>174.0375</v>
      </c>
      <c r="K41" s="11" t="s">
        <v>48</v>
      </c>
      <c r="N41" s="38" t="s">
        <v>137</v>
      </c>
      <c r="O41" s="38"/>
      <c r="P41" s="38"/>
      <c r="Q41" s="38"/>
      <c r="R41" s="38"/>
      <c r="S41" s="38"/>
      <c r="T41" s="38"/>
      <c r="U41" s="38"/>
    </row>
    <row r="42" customFormat="false" ht="15" hidden="false" customHeight="false" outlineLevel="0" collapsed="false">
      <c r="B42" s="7" t="s">
        <v>138</v>
      </c>
      <c r="C42" s="13" t="s">
        <v>118</v>
      </c>
      <c r="D42" s="11"/>
      <c r="G42" s="36" t="s">
        <v>139</v>
      </c>
      <c r="H42" s="36"/>
      <c r="I42" s="36"/>
      <c r="J42" s="29" t="n">
        <f aca="false">INDEX(CALCULO!$D$95:$M$95,det_k)/1000</f>
        <v>12.5515617594877</v>
      </c>
      <c r="K42" s="11" t="s">
        <v>44</v>
      </c>
      <c r="N42" s="38" t="s">
        <v>140</v>
      </c>
      <c r="O42" s="38"/>
      <c r="P42" s="38"/>
      <c r="Q42" s="38"/>
      <c r="R42" s="38"/>
      <c r="S42" s="38"/>
      <c r="T42" s="38"/>
      <c r="U42" s="38"/>
    </row>
    <row r="43" customFormat="false" ht="15" hidden="false" customHeight="false" outlineLevel="0" collapsed="false">
      <c r="B43" s="7" t="s">
        <v>141</v>
      </c>
      <c r="C43" s="13" t="s">
        <v>118</v>
      </c>
      <c r="D43" s="11"/>
      <c r="G43" s="36" t="s">
        <v>142</v>
      </c>
      <c r="H43" s="36"/>
      <c r="I43" s="36"/>
      <c r="J43" s="29" t="n">
        <f aca="false">INDEX(CALCULO!$D$103:$M$103,det_k)/1000</f>
        <v>6.27578087974383</v>
      </c>
      <c r="K43" s="11" t="s">
        <v>44</v>
      </c>
      <c r="N43" s="38" t="s">
        <v>143</v>
      </c>
      <c r="O43" s="38"/>
      <c r="P43" s="38"/>
      <c r="Q43" s="38"/>
      <c r="R43" s="38"/>
      <c r="S43" s="38"/>
      <c r="T43" s="38"/>
      <c r="U43" s="38"/>
    </row>
    <row r="44" customFormat="false" ht="15" hidden="false" customHeight="false" outlineLevel="0" collapsed="false">
      <c r="B44" s="7" t="s">
        <v>144</v>
      </c>
      <c r="C44" s="13" t="n">
        <v>4</v>
      </c>
      <c r="D44" s="11"/>
      <c r="G44" s="36" t="s">
        <v>145</v>
      </c>
      <c r="H44" s="36"/>
      <c r="I44" s="36"/>
      <c r="J44" s="29" t="n">
        <f aca="false">INDEX(CALCULO!$D$97:$M$97,det_k)</f>
        <v>12.9</v>
      </c>
      <c r="K44" s="11" t="s">
        <v>97</v>
      </c>
      <c r="N44" s="38" t="s">
        <v>146</v>
      </c>
      <c r="O44" s="38"/>
      <c r="P44" s="38"/>
      <c r="Q44" s="38"/>
      <c r="R44" s="38"/>
      <c r="S44" s="38"/>
      <c r="T44" s="38"/>
      <c r="U44" s="38"/>
    </row>
    <row r="45" customFormat="false" ht="15" hidden="false" customHeight="false" outlineLevel="0" collapsed="false">
      <c r="B45" s="7" t="s">
        <v>147</v>
      </c>
      <c r="C45" s="13" t="n">
        <v>16</v>
      </c>
      <c r="D45" s="11" t="s">
        <v>29</v>
      </c>
      <c r="G45" s="36" t="s">
        <v>148</v>
      </c>
      <c r="H45" s="36"/>
      <c r="I45" s="36"/>
      <c r="J45" s="39" t="n">
        <f aca="false">INDEX(CALCULO!$D$102:$M$102,det_k)</f>
        <v>32.1105940462414</v>
      </c>
      <c r="K45" s="11" t="s">
        <v>29</v>
      </c>
    </row>
    <row r="46" customFormat="false" ht="15" hidden="false" customHeight="false" outlineLevel="0" collapsed="false">
      <c r="B46" s="7" t="s">
        <v>149</v>
      </c>
      <c r="C46" s="13" t="n">
        <v>4200</v>
      </c>
      <c r="D46" s="11" t="s">
        <v>48</v>
      </c>
      <c r="G46" s="36" t="s">
        <v>150</v>
      </c>
      <c r="H46" s="36"/>
      <c r="I46" s="36"/>
      <c r="J46" s="29" t="n">
        <f aca="false">INDEX(CALCULO!$D$132:$M$132,det_k)</f>
        <v>0.841706326532662</v>
      </c>
      <c r="K46" s="11"/>
    </row>
    <row r="47" customFormat="false" ht="15" hidden="false" customHeight="false" outlineLevel="0" collapsed="false">
      <c r="B47" s="2" t="s">
        <v>151</v>
      </c>
      <c r="C47" s="2"/>
      <c r="D47" s="2"/>
      <c r="E47" s="2"/>
      <c r="G47" s="40" t="s">
        <v>152</v>
      </c>
      <c r="J47" s="41" t="n">
        <f aca="false">pl_tp_mm</f>
        <v>35</v>
      </c>
      <c r="K47" s="40" t="s">
        <v>29</v>
      </c>
    </row>
    <row r="48" customFormat="false" ht="15" hidden="false" customHeight="false" outlineLevel="0" collapsed="false">
      <c r="B48" s="7" t="s">
        <v>153</v>
      </c>
      <c r="C48" s="13" t="s">
        <v>154</v>
      </c>
      <c r="D48" s="13"/>
    </row>
    <row r="49" customFormat="false" ht="15" hidden="false" customHeight="false" outlineLevel="0" collapsed="false">
      <c r="B49" s="7" t="s">
        <v>155</v>
      </c>
      <c r="C49" s="13" t="n">
        <v>8</v>
      </c>
      <c r="D49" s="11" t="s">
        <v>29</v>
      </c>
    </row>
    <row r="50" customFormat="false" ht="15" hidden="false" customHeight="false" outlineLevel="0" collapsed="false">
      <c r="B50" s="7" t="s">
        <v>156</v>
      </c>
      <c r="C50" s="13" t="n">
        <v>6</v>
      </c>
      <c r="D50" s="11" t="s">
        <v>29</v>
      </c>
    </row>
    <row r="51" customFormat="false" ht="15" hidden="false" customHeight="false" outlineLevel="0" collapsed="false">
      <c r="B51" s="2" t="s">
        <v>157</v>
      </c>
      <c r="C51" s="2"/>
      <c r="D51" s="2"/>
      <c r="E51" s="2"/>
    </row>
    <row r="52" customFormat="false" ht="15" hidden="false" customHeight="false" outlineLevel="0" collapsed="false">
      <c r="B52" s="7" t="s">
        <v>158</v>
      </c>
      <c r="C52" s="13" t="s">
        <v>118</v>
      </c>
      <c r="D52" s="11"/>
    </row>
    <row r="53" customFormat="false" ht="15" hidden="false" customHeight="false" outlineLevel="0" collapsed="false">
      <c r="B53" s="7" t="s">
        <v>159</v>
      </c>
      <c r="C53" s="10" t="n">
        <v>1</v>
      </c>
      <c r="D53" s="11"/>
    </row>
  </sheetData>
  <mergeCells count="47">
    <mergeCell ref="B2:U2"/>
    <mergeCell ref="B3:U3"/>
    <mergeCell ref="B6:E6"/>
    <mergeCell ref="G6:I6"/>
    <mergeCell ref="J6:L6"/>
    <mergeCell ref="N6:U6"/>
    <mergeCell ref="C7:E7"/>
    <mergeCell ref="N7:U8"/>
    <mergeCell ref="C8:E8"/>
    <mergeCell ref="B10:E10"/>
    <mergeCell ref="C11:D11"/>
    <mergeCell ref="N11:U11"/>
    <mergeCell ref="N15:U15"/>
    <mergeCell ref="B16:E16"/>
    <mergeCell ref="C17:D17"/>
    <mergeCell ref="N20:U20"/>
    <mergeCell ref="G21:L21"/>
    <mergeCell ref="B23:E23"/>
    <mergeCell ref="C24:D24"/>
    <mergeCell ref="N25:U25"/>
    <mergeCell ref="C27:D27"/>
    <mergeCell ref="N28:U28"/>
    <mergeCell ref="G35:L35"/>
    <mergeCell ref="H36:I36"/>
    <mergeCell ref="N36:U36"/>
    <mergeCell ref="B37:E37"/>
    <mergeCell ref="G37:I37"/>
    <mergeCell ref="N37:U37"/>
    <mergeCell ref="G38:I38"/>
    <mergeCell ref="N38:U38"/>
    <mergeCell ref="G39:I39"/>
    <mergeCell ref="N39:U39"/>
    <mergeCell ref="G40:I40"/>
    <mergeCell ref="N40:U40"/>
    <mergeCell ref="G41:I41"/>
    <mergeCell ref="N41:U41"/>
    <mergeCell ref="G42:I42"/>
    <mergeCell ref="N42:U42"/>
    <mergeCell ref="G43:I43"/>
    <mergeCell ref="N43:U43"/>
    <mergeCell ref="G44:I44"/>
    <mergeCell ref="N44:U44"/>
    <mergeCell ref="G45:I45"/>
    <mergeCell ref="G46:I46"/>
    <mergeCell ref="B47:E47"/>
    <mergeCell ref="C48:D48"/>
    <mergeCell ref="B51:E51"/>
  </mergeCells>
  <conditionalFormatting sqref="S12:S34">
    <cfRule type="expression" priority="2" aboveAverage="0" equalAverage="0" bottom="0" percent="0" rank="0" text="" dxfId="0">
      <formula>AND(ISNUMBER(S12),S12&gt;1)</formula>
    </cfRule>
    <cfRule type="expression" priority="3" aboveAverage="0" equalAverage="0" bottom="0" percent="0" rank="0" text="" dxfId="1">
      <formula>AND(ISNUMBER(S12),S12&gt;lim_verde,S12&lt;=1)</formula>
    </cfRule>
    <cfRule type="expression" priority="4" aboveAverage="0" equalAverage="0" bottom="0" percent="0" rank="0" text="" dxfId="2">
      <formula>AND(ISNUMBER(S12),S12&lt;=lim_verde)</formula>
    </cfRule>
  </conditionalFormatting>
  <conditionalFormatting sqref="L23:L32">
    <cfRule type="expression" priority="5" aboveAverage="0" equalAverage="0" bottom="0" percent="0" rank="0" text="" dxfId="0">
      <formula>AND(ISNUMBER(L23),L23&gt;1)</formula>
    </cfRule>
    <cfRule type="expression" priority="6" aboveAverage="0" equalAverage="0" bottom="0" percent="0" rank="0" text="" dxfId="1">
      <formula>AND(ISNUMBER(L23),L23&gt;lim_verde,L23&lt;=1)</formula>
    </cfRule>
    <cfRule type="expression" priority="7" aboveAverage="0" equalAverage="0" bottom="0" percent="0" rank="0" text="" dxfId="2">
      <formula>AND(ISNUMBER(L23),L23&lt;=lim_verde)</formula>
    </cfRule>
  </conditionalFormatting>
  <conditionalFormatting sqref="J46">
    <cfRule type="expression" priority="8" aboveAverage="0" equalAverage="0" bottom="0" percent="0" rank="0" text="" dxfId="0">
      <formula>AND(ISNUMBER(J46),J46&gt;1)</formula>
    </cfRule>
    <cfRule type="expression" priority="9" aboveAverage="0" equalAverage="0" bottom="0" percent="0" rank="0" text="" dxfId="1">
      <formula>AND(ISNUMBER(J46),J46&gt;lim_verde,J46&lt;=1)</formula>
    </cfRule>
    <cfRule type="expression" priority="10" aboveAverage="0" equalAverage="0" bottom="0" percent="0" rank="0" text="" dxfId="2">
      <formula>AND(ISNUMBER(J46),J46&lt;=lim_verde)</formula>
    </cfRule>
  </conditionalFormatting>
  <conditionalFormatting sqref="T12:T34">
    <cfRule type="expression" priority="11" aboveAverage="0" equalAverage="0" bottom="0" percent="0" rank="0" text="" dxfId="0">
      <formula>T12="NO CUMPLE"</formula>
    </cfRule>
    <cfRule type="expression" priority="12" aboveAverage="0" equalAverage="0" bottom="0" percent="0" rank="0" text="" dxfId="1">
      <formula>T12="AL LÍMITE"</formula>
    </cfRule>
    <cfRule type="expression" priority="13" aboveAverage="0" equalAverage="0" bottom="0" percent="0" rank="0" text="" dxfId="2">
      <formula>T12="CUMPLE"</formula>
    </cfRule>
    <cfRule type="expression" priority="14" aboveAverage="0" equalAverage="0" bottom="0" percent="0" rank="0" text="" dxfId="3">
      <formula>T12="N/A"</formula>
    </cfRule>
  </conditionalFormatting>
  <conditionalFormatting sqref="N7:U8">
    <cfRule type="expression" priority="15" aboveAverage="0" equalAverage="0" bottom="0" percent="0" rank="0" text="" dxfId="4">
      <formula>LEFT($N$7,1)="✖"</formula>
    </cfRule>
    <cfRule type="expression" priority="16" aboveAverage="0" equalAverage="0" bottom="0" percent="0" rank="0" text="" dxfId="5">
      <formula>LEFT($N$7,1)="▲"</formula>
    </cfRule>
    <cfRule type="expression" priority="17" aboveAverage="0" equalAverage="0" bottom="0" percent="0" rank="0" text="" dxfId="6">
      <formula>LEFT($N$7,1)="✔"</formula>
    </cfRule>
  </conditionalFormatting>
  <conditionalFormatting sqref="E12:E15">
    <cfRule type="expression" priority="18" aboveAverage="0" equalAverage="0" bottom="0" percent="0" rank="0" text="" dxfId="7">
      <formula>$C$11&lt;&gt;"ARMADO (flejes soldados)"</formula>
    </cfRule>
  </conditionalFormatting>
  <conditionalFormatting sqref="C44:C46">
    <cfRule type="expression" priority="19" aboveAverage="0" equalAverage="0" bottom="0" percent="0" rank="0" text="" dxfId="7">
      <formula>$C$43&lt;&gt;"Sí"</formula>
    </cfRule>
  </conditionalFormatting>
  <dataValidations count="11">
    <dataValidation allowBlank="true" errorStyle="stop" operator="between" showDropDown="false" showErrorMessage="false" showInputMessage="false" sqref="C11" type="list">
      <formula1>CATALOGOS!$A$5:$A$60</formula1>
      <formula2>0</formula2>
    </dataValidation>
    <dataValidation allowBlank="true" errorStyle="stop" operator="between" showDropDown="false" showErrorMessage="false" showInputMessage="false" sqref="C17" type="list">
      <formula1>CATALOGOS!$G$5:$G$20</formula1>
      <formula2>0</formula2>
    </dataValidation>
    <dataValidation allowBlank="true" error="Valor no estándar. ¿Usarlo igual?" errorStyle="warning" errorTitle="Valor fuera de la lista" operator="between" showDropDown="false" showErrorMessage="true" showInputMessage="false" sqref="C21" type="list">
      <formula1>CATALOGOS!$S$5:$S$40</formula1>
      <formula2>0</formula2>
    </dataValidation>
    <dataValidation allowBlank="true" errorStyle="stop" operator="between" showDropDown="false" showErrorMessage="false" showInputMessage="false" sqref="C24" type="list">
      <formula1>CATALOGOS!$K$5:$K$20</formula1>
      <formula2>0</formula2>
    </dataValidation>
    <dataValidation allowBlank="true" errorStyle="stop" operator="between" showDropDown="false" showErrorMessage="false" showInputMessage="false" sqref="C27" type="list">
      <formula1>CATALOGOS!$O$5:$O$20</formula1>
      <formula2>0</formula2>
    </dataValidation>
    <dataValidation allowBlank="true" errorStyle="stop" operator="between" showDropDown="false" showErrorMessage="false" showInputMessage="false" sqref="C28" type="list">
      <formula1>CATALOGOS!$AB$5:$AB$7</formula1>
      <formula2>0</formula2>
    </dataValidation>
    <dataValidation allowBlank="true" errorStyle="stop" operator="between" showDropDown="false" showErrorMessage="false" showInputMessage="false" sqref="C35 C41:C43 C52" type="list">
      <formula1>CATALOGOS!$Z$5:$Z$6</formula1>
      <formula2>0</formula2>
    </dataValidation>
    <dataValidation allowBlank="true" error="Valor no estándar. ¿Usarlo igual?" errorStyle="warning" errorTitle="Valor fuera de la lista" operator="between" showDropDown="false" showErrorMessage="true" showInputMessage="false" sqref="C38" type="list">
      <formula1>CATALOGOS!$U$5:$U$20</formula1>
      <formula2>0</formula2>
    </dataValidation>
    <dataValidation allowBlank="true" errorStyle="stop" operator="between" showDropDown="false" showErrorMessage="false" showInputMessage="false" sqref="C45" type="list">
      <formula1>CATALOGOS!$AD$5:$AD$13</formula1>
      <formula2>0</formula2>
    </dataValidation>
    <dataValidation allowBlank="true" errorStyle="stop" operator="between" showDropDown="false" showErrorMessage="false" showInputMessage="false" sqref="C48" type="list">
      <formula1>CATALOGOS!$W$5:$W$6</formula1>
      <formula2>0</formula2>
    </dataValidation>
    <dataValidation allowBlank="false" errorStyle="stop" operator="between" showDropDown="false" showErrorMessage="false" showInputMessage="false" sqref="H36" type="list">
      <formula1>$G$23:$G$32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0" topLeftCell="D81" activePane="bottomRight" state="frozen"/>
      <selection pane="topLeft" activeCell="A1" activeCellId="0" sqref="A1"/>
      <selection pane="topRight" activeCell="D1" activeCellId="0" sqref="D1"/>
      <selection pane="bottomLeft" activeCell="A81" activeCellId="0" sqref="A8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22"/>
    <col collapsed="false" customWidth="true" hidden="false" outlineLevel="0" max="13" min="4" style="0" width="11"/>
  </cols>
  <sheetData>
    <row r="1" customFormat="false" ht="15" hidden="false" customHeight="false" outlineLevel="0" collapsed="false">
      <c r="A1" s="42" t="s">
        <v>160</v>
      </c>
    </row>
    <row r="2" customFormat="false" ht="15" hidden="false" customHeight="false" outlineLevel="0" collapsed="false">
      <c r="A2" s="3" t="s">
        <v>161</v>
      </c>
    </row>
    <row r="4" customFormat="false" ht="15" hidden="false" customHeight="false" outlineLevel="0" collapsed="false">
      <c r="A4" s="43" t="s">
        <v>162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customFormat="false" ht="15" hidden="false" customHeight="false" outlineLevel="0" collapsed="false">
      <c r="A5" s="44" t="s">
        <v>163</v>
      </c>
      <c r="B5" s="44" t="s">
        <v>164</v>
      </c>
      <c r="C5" s="44" t="s">
        <v>97</v>
      </c>
      <c r="D5" s="45" t="n">
        <f aca="false">col_d_mm/10</f>
        <v>36</v>
      </c>
    </row>
    <row r="6" customFormat="false" ht="15" hidden="false" customHeight="false" outlineLevel="0" collapsed="false">
      <c r="A6" s="44" t="s">
        <v>165</v>
      </c>
      <c r="B6" s="44" t="s">
        <v>166</v>
      </c>
      <c r="C6" s="44" t="s">
        <v>97</v>
      </c>
      <c r="D6" s="45" t="n">
        <f aca="false">col_bf_mm/10</f>
        <v>18</v>
      </c>
    </row>
    <row r="7" customFormat="false" ht="15" hidden="false" customHeight="false" outlineLevel="0" collapsed="false">
      <c r="A7" s="44" t="s">
        <v>167</v>
      </c>
      <c r="B7" s="44" t="s">
        <v>168</v>
      </c>
      <c r="C7" s="44" t="s">
        <v>97</v>
      </c>
      <c r="D7" s="45" t="n">
        <f aca="false">col_tw_mm/10</f>
        <v>0.6</v>
      </c>
    </row>
    <row r="8" customFormat="false" ht="15" hidden="false" customHeight="false" outlineLevel="0" collapsed="false">
      <c r="A8" s="44" t="s">
        <v>169</v>
      </c>
      <c r="B8" s="44" t="s">
        <v>170</v>
      </c>
      <c r="C8" s="44" t="s">
        <v>97</v>
      </c>
      <c r="D8" s="45" t="n">
        <f aca="false">col_tf_mm/10</f>
        <v>1.2</v>
      </c>
    </row>
    <row r="9" customFormat="false" ht="15" hidden="false" customHeight="false" outlineLevel="0" collapsed="false">
      <c r="A9" s="44" t="s">
        <v>171</v>
      </c>
      <c r="B9" s="44" t="s">
        <v>172</v>
      </c>
      <c r="C9" s="44" t="s">
        <v>173</v>
      </c>
      <c r="D9" s="45" t="n">
        <f aca="false">2*c_bf*c_tf+(c_d-2*c_tf)*c_tw</f>
        <v>63.36</v>
      </c>
    </row>
    <row r="10" customFormat="false" ht="15" hidden="false" customHeight="false" outlineLevel="0" collapsed="false">
      <c r="A10" s="44" t="s">
        <v>174</v>
      </c>
      <c r="B10" s="44" t="s">
        <v>175</v>
      </c>
      <c r="C10" s="44" t="s">
        <v>97</v>
      </c>
      <c r="D10" s="45" t="n">
        <f aca="false">pl_N_mm/10</f>
        <v>60</v>
      </c>
    </row>
    <row r="11" customFormat="false" ht="15" hidden="false" customHeight="false" outlineLevel="0" collapsed="false">
      <c r="A11" s="44" t="s">
        <v>176</v>
      </c>
      <c r="B11" s="44" t="s">
        <v>177</v>
      </c>
      <c r="C11" s="44" t="s">
        <v>97</v>
      </c>
      <c r="D11" s="45" t="n">
        <f aca="false">pl_B_mm/10</f>
        <v>40</v>
      </c>
    </row>
    <row r="12" customFormat="false" ht="15" hidden="false" customHeight="false" outlineLevel="0" collapsed="false">
      <c r="A12" s="44" t="s">
        <v>178</v>
      </c>
      <c r="B12" s="44" t="s">
        <v>179</v>
      </c>
      <c r="C12" s="44" t="s">
        <v>97</v>
      </c>
      <c r="D12" s="45" t="n">
        <f aca="false">pl_tp_mm/10</f>
        <v>3.5</v>
      </c>
    </row>
    <row r="13" customFormat="false" ht="15" hidden="false" customHeight="false" outlineLevel="0" collapsed="false">
      <c r="A13" s="44" t="s">
        <v>180</v>
      </c>
      <c r="B13" s="44" t="s">
        <v>181</v>
      </c>
      <c r="C13" s="44" t="s">
        <v>97</v>
      </c>
      <c r="D13" s="45" t="n">
        <f aca="false">grout_mm/10</f>
        <v>2.5</v>
      </c>
    </row>
    <row r="14" customFormat="false" ht="15" hidden="false" customHeight="false" outlineLevel="0" collapsed="false">
      <c r="A14" s="44" t="s">
        <v>182</v>
      </c>
      <c r="B14" s="44" t="s">
        <v>183</v>
      </c>
      <c r="C14" s="44" t="s">
        <v>184</v>
      </c>
      <c r="D14" s="45" t="n">
        <f aca="false">INDEX(CATALOGOS!$P$5:$P$20,MATCH(pb_diam,CATALOGOS!$O$5:$O$20,0))</f>
        <v>1</v>
      </c>
    </row>
    <row r="15" customFormat="false" ht="15" hidden="false" customHeight="false" outlineLevel="0" collapsed="false">
      <c r="A15" s="44" t="s">
        <v>185</v>
      </c>
      <c r="B15" s="44" t="s">
        <v>186</v>
      </c>
      <c r="C15" s="44" t="s">
        <v>187</v>
      </c>
      <c r="D15" s="45" t="n">
        <f aca="false">INDEX(CATALOGOS!$Q$5:$Q$20,MATCH(pb_diam,CATALOGOS!$O$5:$O$20,0))</f>
        <v>8</v>
      </c>
    </row>
    <row r="16" customFormat="false" ht="15" hidden="false" customHeight="false" outlineLevel="0" collapsed="false">
      <c r="A16" s="44" t="s">
        <v>182</v>
      </c>
      <c r="B16" s="44" t="s">
        <v>183</v>
      </c>
      <c r="C16" s="44" t="s">
        <v>97</v>
      </c>
      <c r="D16" s="45" t="n">
        <f aca="false">a_din*2.54</f>
        <v>2.54</v>
      </c>
    </row>
    <row r="17" customFormat="false" ht="15" hidden="false" customHeight="false" outlineLevel="0" collapsed="false">
      <c r="A17" s="44" t="s">
        <v>188</v>
      </c>
      <c r="B17" s="44" t="s">
        <v>189</v>
      </c>
      <c r="C17" s="44" t="s">
        <v>173</v>
      </c>
      <c r="D17" s="45" t="n">
        <f aca="false">0.7854*(a_din-0.9743/a_tpi)^2*6.4516</f>
        <v>3.90802702958011</v>
      </c>
    </row>
    <row r="18" customFormat="false" ht="15" hidden="false" customHeight="false" outlineLevel="0" collapsed="false">
      <c r="A18" s="44" t="s">
        <v>190</v>
      </c>
      <c r="B18" s="44" t="s">
        <v>191</v>
      </c>
      <c r="C18" s="44" t="s">
        <v>184</v>
      </c>
      <c r="D18" s="45" t="n">
        <f aca="false">MIN(ar_lado,(1.5*a_din+0.125)*25.4+2*ar_t)/25.4</f>
        <v>2.56988188976378</v>
      </c>
    </row>
    <row r="19" customFormat="false" ht="15" hidden="false" customHeight="false" outlineLevel="0" collapsed="false">
      <c r="A19" s="44" t="s">
        <v>192</v>
      </c>
      <c r="B19" s="44" t="s">
        <v>193</v>
      </c>
      <c r="C19" s="44" t="s">
        <v>173</v>
      </c>
      <c r="D19" s="45" t="n">
        <f aca="false">(IF(a_bef&gt;1.5*a_din+0.125,a_bef^2,0.866*(1.5*a_din+0.125)^2)-PI()*a_din^2/4)*6.4516</f>
        <v>37.541181459025</v>
      </c>
    </row>
    <row r="20" customFormat="false" ht="15" hidden="false" customHeight="false" outlineLevel="0" collapsed="false">
      <c r="A20" s="44" t="s">
        <v>194</v>
      </c>
      <c r="B20" s="44" t="s">
        <v>195</v>
      </c>
      <c r="C20" s="44" t="s">
        <v>196</v>
      </c>
      <c r="D20" s="46" t="n">
        <f aca="false">pb_nfila</f>
        <v>2</v>
      </c>
    </row>
    <row r="21" customFormat="false" ht="15" hidden="false" customHeight="false" outlineLevel="0" collapsed="false">
      <c r="A21" s="44" t="s">
        <v>197</v>
      </c>
      <c r="B21" s="44" t="s">
        <v>198</v>
      </c>
      <c r="C21" s="44" t="s">
        <v>196</v>
      </c>
      <c r="D21" s="46" t="n">
        <f aca="false">pb_ntot</f>
        <v>4</v>
      </c>
    </row>
    <row r="22" customFormat="false" ht="15" hidden="false" customHeight="false" outlineLevel="0" collapsed="false">
      <c r="A22" s="44" t="s">
        <v>199</v>
      </c>
      <c r="B22" s="44" t="s">
        <v>200</v>
      </c>
      <c r="C22" s="44" t="s">
        <v>97</v>
      </c>
      <c r="D22" s="45" t="n">
        <f aca="false">p_N/2-pb_eN_mm/10</f>
        <v>25</v>
      </c>
    </row>
    <row r="23" customFormat="false" ht="15" hidden="false" customHeight="false" outlineLevel="0" collapsed="false">
      <c r="A23" s="44" t="s">
        <v>201</v>
      </c>
      <c r="B23" s="44" t="s">
        <v>202</v>
      </c>
      <c r="C23" s="44" t="s">
        <v>97</v>
      </c>
      <c r="D23" s="45" t="n">
        <f aca="false">p_B/2-pb_eB_mm/10</f>
        <v>15</v>
      </c>
    </row>
    <row r="24" customFormat="false" ht="15" hidden="false" customHeight="false" outlineLevel="0" collapsed="false">
      <c r="A24" s="44" t="s">
        <v>203</v>
      </c>
      <c r="B24" s="44" t="s">
        <v>204</v>
      </c>
      <c r="C24" s="44" t="s">
        <v>97</v>
      </c>
      <c r="D24" s="45" t="n">
        <f aca="false">2*g_xb/(a_nf-1)</f>
        <v>30</v>
      </c>
    </row>
    <row r="25" customFormat="false" ht="15" hidden="false" customHeight="false" outlineLevel="0" collapsed="false">
      <c r="A25" s="44" t="s">
        <v>205</v>
      </c>
      <c r="B25" s="44" t="s">
        <v>206</v>
      </c>
      <c r="C25" s="44" t="s">
        <v>97</v>
      </c>
      <c r="D25" s="45" t="n">
        <f aca="false">pb_hef_mm/10</f>
        <v>50</v>
      </c>
    </row>
    <row r="26" customFormat="false" ht="15" hidden="false" customHeight="false" outlineLevel="0" collapsed="false">
      <c r="A26" s="44" t="s">
        <v>207</v>
      </c>
      <c r="B26" s="44" t="s">
        <v>208</v>
      </c>
      <c r="C26" s="44" t="s">
        <v>97</v>
      </c>
      <c r="D26" s="45" t="n">
        <f aca="false">ped_Np/2-g_f</f>
        <v>20</v>
      </c>
    </row>
    <row r="27" customFormat="false" ht="15" hidden="false" customHeight="false" outlineLevel="0" collapsed="false">
      <c r="A27" s="44" t="s">
        <v>209</v>
      </c>
      <c r="B27" s="44" t="s">
        <v>210</v>
      </c>
      <c r="C27" s="44" t="s">
        <v>97</v>
      </c>
      <c r="D27" s="45" t="n">
        <f aca="false">ped_Bp/2-g_xb</f>
        <v>25</v>
      </c>
    </row>
    <row r="28" customFormat="false" ht="15" hidden="false" customHeight="false" outlineLevel="0" collapsed="false">
      <c r="A28" s="44" t="s">
        <v>211</v>
      </c>
      <c r="B28" s="44" t="s">
        <v>212</v>
      </c>
      <c r="C28" s="44" t="s">
        <v>97</v>
      </c>
      <c r="D28" s="45" t="n">
        <f aca="false">ped_Np/2+g_f</f>
        <v>70</v>
      </c>
    </row>
    <row r="29" customFormat="false" ht="15" hidden="false" customHeight="false" outlineLevel="0" collapsed="false">
      <c r="A29" s="44" t="s">
        <v>213</v>
      </c>
      <c r="B29" s="44" t="s">
        <v>214</v>
      </c>
      <c r="C29" s="44" t="s">
        <v>196</v>
      </c>
      <c r="D29" s="47" t="n">
        <f aca="false">IF(sismo="Sí",0.75,1)</f>
        <v>0.75</v>
      </c>
    </row>
    <row r="30" customFormat="false" ht="15" hidden="false" customHeight="false" outlineLevel="0" collapsed="false">
      <c r="A30" s="43" t="s">
        <v>215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</row>
    <row r="31" customFormat="false" ht="15" hidden="false" customHeight="false" outlineLevel="0" collapsed="false">
      <c r="A31" s="44" t="s">
        <v>216</v>
      </c>
      <c r="B31" s="44" t="s">
        <v>217</v>
      </c>
      <c r="C31" s="44" t="s">
        <v>196</v>
      </c>
      <c r="D31" s="45" t="n">
        <f aca="false">MIN(2,MAX(1,MIN(ped_Bp/p_B,ped_Np/p_N)))</f>
        <v>1.5</v>
      </c>
    </row>
    <row r="32" customFormat="false" ht="15" hidden="false" customHeight="false" outlineLevel="0" collapsed="false">
      <c r="A32" s="44" t="s">
        <v>218</v>
      </c>
      <c r="B32" s="44" t="s">
        <v>219</v>
      </c>
      <c r="C32" s="44" t="s">
        <v>48</v>
      </c>
      <c r="D32" s="47" t="n">
        <f aca="false">0.65*0.85*fc*b_raiz</f>
        <v>174.0375</v>
      </c>
    </row>
    <row r="33" customFormat="false" ht="15" hidden="false" customHeight="false" outlineLevel="0" collapsed="false">
      <c r="A33" s="44" t="s">
        <v>220</v>
      </c>
      <c r="B33" s="44" t="s">
        <v>221</v>
      </c>
      <c r="C33" s="44" t="s">
        <v>222</v>
      </c>
      <c r="D33" s="48" t="n">
        <f aca="false">b_fpu*p_B</f>
        <v>6961.5</v>
      </c>
    </row>
    <row r="34" customFormat="false" ht="15" hidden="false" customHeight="false" outlineLevel="0" collapsed="false">
      <c r="A34" s="44" t="s">
        <v>223</v>
      </c>
      <c r="B34" s="44" t="s">
        <v>224</v>
      </c>
      <c r="C34" s="44" t="s">
        <v>97</v>
      </c>
      <c r="D34" s="45" t="n">
        <f aca="false">(p_N-0.95*c_d)/2</f>
        <v>12.9</v>
      </c>
    </row>
    <row r="35" customFormat="false" ht="15" hidden="false" customHeight="false" outlineLevel="0" collapsed="false">
      <c r="A35" s="44" t="s">
        <v>197</v>
      </c>
      <c r="B35" s="44" t="s">
        <v>225</v>
      </c>
      <c r="C35" s="44" t="s">
        <v>97</v>
      </c>
      <c r="D35" s="45" t="n">
        <f aca="false">(p_B-0.8*c_bf)/2</f>
        <v>12.8</v>
      </c>
    </row>
    <row r="36" customFormat="false" ht="15" hidden="false" customHeight="false" outlineLevel="0" collapsed="false">
      <c r="A36" s="44" t="s">
        <v>226</v>
      </c>
      <c r="B36" s="44" t="s">
        <v>227</v>
      </c>
      <c r="C36" s="44" t="s">
        <v>97</v>
      </c>
      <c r="D36" s="45" t="n">
        <f aca="false">SQRT(c_d*c_bf)/4</f>
        <v>6.36396103067893</v>
      </c>
    </row>
    <row r="37" customFormat="false" ht="15" hidden="false" customHeight="false" outlineLevel="0" collapsed="false">
      <c r="A37" s="44" t="s">
        <v>228</v>
      </c>
      <c r="B37" s="44" t="s">
        <v>229</v>
      </c>
      <c r="C37" s="44" t="s">
        <v>97</v>
      </c>
      <c r="D37" s="45" t="n">
        <f aca="false">g_f-c_d/2+c_tf/2</f>
        <v>7.6</v>
      </c>
    </row>
    <row r="38" customFormat="false" ht="15" hidden="false" customHeight="false" outlineLevel="0" collapsed="false">
      <c r="A38" s="44" t="s">
        <v>230</v>
      </c>
      <c r="B38" s="44" t="s">
        <v>231</v>
      </c>
      <c r="C38" s="44" t="s">
        <v>35</v>
      </c>
      <c r="D38" s="48" t="n">
        <f aca="false">0.9*pl_Fy*p_tp^2/4</f>
        <v>6973.3125</v>
      </c>
    </row>
    <row r="39" customFormat="false" ht="15" hidden="false" customHeight="false" outlineLevel="0" collapsed="false">
      <c r="A39" s="43" t="s">
        <v>232</v>
      </c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</row>
    <row r="40" customFormat="false" ht="15" hidden="false" customHeight="false" outlineLevel="0" collapsed="false">
      <c r="A40" s="44" t="s">
        <v>233</v>
      </c>
      <c r="B40" s="44" t="s">
        <v>234</v>
      </c>
      <c r="C40" s="44" t="s">
        <v>235</v>
      </c>
      <c r="D40" s="46" t="n">
        <f aca="false">0.75*a_Ase*pb_futa</f>
        <v>15446.4768344154</v>
      </c>
    </row>
    <row r="41" customFormat="false" ht="15" hidden="false" customHeight="false" outlineLevel="0" collapsed="false">
      <c r="A41" s="44" t="s">
        <v>236</v>
      </c>
      <c r="B41" s="44" t="s">
        <v>237</v>
      </c>
      <c r="C41" s="44" t="s">
        <v>235</v>
      </c>
      <c r="D41" s="46" t="n">
        <f aca="false">0.65*0.6*a_Ase*pb_futa*IF(p_g&gt;0,0.8,1)</f>
        <v>6425.73436311679</v>
      </c>
    </row>
    <row r="42" customFormat="false" ht="15" hidden="false" customHeight="false" outlineLevel="0" collapsed="false">
      <c r="A42" s="44" t="s">
        <v>238</v>
      </c>
      <c r="B42" s="44" t="s">
        <v>239</v>
      </c>
      <c r="C42" s="44" t="s">
        <v>196</v>
      </c>
      <c r="D42" s="47" t="n">
        <f aca="false">IF(fisurado="Sí",1,1.25)</f>
        <v>1</v>
      </c>
    </row>
    <row r="43" customFormat="false" ht="15" hidden="false" customHeight="false" outlineLevel="0" collapsed="false">
      <c r="A43" s="44" t="s">
        <v>240</v>
      </c>
      <c r="B43" s="44" t="s">
        <v>241</v>
      </c>
      <c r="C43" s="44" t="s">
        <v>196</v>
      </c>
      <c r="D43" s="46" t="n">
        <f aca="false">(g_caF&lt;1.5*g_hef)+2*(g_caS&lt;1.5*g_hef)+(g_caB&lt;1.5*g_hef)</f>
        <v>4</v>
      </c>
    </row>
    <row r="44" customFormat="false" ht="15" hidden="false" customHeight="false" outlineLevel="0" collapsed="false">
      <c r="A44" s="44" t="s">
        <v>242</v>
      </c>
      <c r="B44" s="44" t="s">
        <v>243</v>
      </c>
      <c r="C44" s="44" t="s">
        <v>97</v>
      </c>
      <c r="D44" s="45" t="n">
        <f aca="false">MAX(IF(g_caF&lt;1.5*g_hef,g_caF,0),IF(g_caS&lt;1.5*g_hef,g_caS,0),IF(g_caB&lt;1.5*g_hef,g_caB,0))</f>
        <v>70</v>
      </c>
    </row>
    <row r="45" customFormat="false" ht="15" hidden="false" customHeight="false" outlineLevel="0" collapsed="false">
      <c r="A45" s="44" t="s">
        <v>244</v>
      </c>
      <c r="B45" s="44" t="s">
        <v>245</v>
      </c>
      <c r="C45" s="44" t="s">
        <v>97</v>
      </c>
      <c r="D45" s="45" t="n">
        <f aca="false">IF(t_ned&gt;=3,MIN(g_hef,MAX(t_camax/1.5,2*g_xb/3)),g_hef)</f>
        <v>46.6666666666667</v>
      </c>
    </row>
    <row r="46" customFormat="false" ht="15" hidden="false" customHeight="false" outlineLevel="0" collapsed="false">
      <c r="A46" s="44" t="s">
        <v>246</v>
      </c>
      <c r="B46" s="44" t="s">
        <v>247</v>
      </c>
      <c r="C46" s="44" t="s">
        <v>173</v>
      </c>
      <c r="D46" s="46" t="n">
        <f aca="false">9*t_h^2</f>
        <v>19600</v>
      </c>
    </row>
    <row r="47" customFormat="false" ht="15" hidden="false" customHeight="false" outlineLevel="0" collapsed="false">
      <c r="A47" s="44" t="s">
        <v>248</v>
      </c>
      <c r="B47" s="44" t="s">
        <v>249</v>
      </c>
      <c r="C47" s="44" t="s">
        <v>173</v>
      </c>
      <c r="D47" s="46" t="n">
        <f aca="false">MIN((2*g_xb+2*MIN(1.5*t_h,g_caS))*(MIN(1.5*t_h,g_caF)+MIN(1.5*t_h,g_caB)),a_nf*t_ANco)</f>
        <v>7200</v>
      </c>
    </row>
    <row r="48" customFormat="false" ht="15" hidden="false" customHeight="false" outlineLevel="0" collapsed="false">
      <c r="A48" s="44" t="s">
        <v>250</v>
      </c>
      <c r="B48" s="44" t="s">
        <v>251</v>
      </c>
      <c r="C48" s="44" t="s">
        <v>196</v>
      </c>
      <c r="D48" s="45" t="n">
        <f aca="false">MIN(1,0.7+0.3*MIN(g_caF,g_caS)/(1.5*t_h))</f>
        <v>0.785714285714286</v>
      </c>
    </row>
    <row r="49" customFormat="false" ht="15" hidden="false" customHeight="false" outlineLevel="0" collapsed="false">
      <c r="A49" s="44" t="s">
        <v>252</v>
      </c>
      <c r="B49" s="44" t="s">
        <v>253</v>
      </c>
      <c r="C49" s="44" t="s">
        <v>235</v>
      </c>
      <c r="D49" s="46" t="n">
        <f aca="false">24*SQRT(fc*14.2233)*(t_h/2.54)^1.5*0.453592</f>
        <v>46853.9335261558</v>
      </c>
    </row>
    <row r="50" customFormat="false" ht="15" hidden="false" customHeight="false" outlineLevel="0" collapsed="false">
      <c r="A50" s="44" t="s">
        <v>254</v>
      </c>
      <c r="B50" s="44" t="s">
        <v>255</v>
      </c>
      <c r="C50" s="44" t="s">
        <v>235</v>
      </c>
      <c r="D50" s="46" t="n">
        <f aca="false">0.7*k_sis*t_ANc/t_ANco*t_psied*psi_cN*t_Nb</f>
        <v>7099.80523330014</v>
      </c>
    </row>
    <row r="51" customFormat="false" ht="15" hidden="false" customHeight="false" outlineLevel="0" collapsed="false">
      <c r="A51" s="44" t="s">
        <v>240</v>
      </c>
      <c r="B51" s="44" t="s">
        <v>256</v>
      </c>
      <c r="C51" s="44" t="s">
        <v>196</v>
      </c>
      <c r="D51" s="46" t="n">
        <f aca="false">2*(g_caF&lt;1.5*g_hef)+2*(g_caS&lt;1.5*g_hef)</f>
        <v>4</v>
      </c>
    </row>
    <row r="52" customFormat="false" ht="15" hidden="false" customHeight="false" outlineLevel="0" collapsed="false">
      <c r="A52" s="44" t="s">
        <v>242</v>
      </c>
      <c r="B52" s="44" t="s">
        <v>257</v>
      </c>
      <c r="C52" s="44" t="s">
        <v>97</v>
      </c>
      <c r="D52" s="45" t="n">
        <f aca="false">MAX(IF(g_caF&lt;1.5*g_hef,g_caF,0),IF(g_caS&lt;1.5*g_hef,g_caS,0))</f>
        <v>25</v>
      </c>
    </row>
    <row r="53" customFormat="false" ht="15" hidden="false" customHeight="false" outlineLevel="0" collapsed="false">
      <c r="A53" s="44" t="s">
        <v>244</v>
      </c>
      <c r="B53" s="44" t="s">
        <v>258</v>
      </c>
      <c r="C53" s="44" t="s">
        <v>97</v>
      </c>
      <c r="D53" s="45" t="n">
        <f aca="false">IF(g_ned&gt;=3,MIN(g_hef,MAX(g_camax/1.5,MAX(2*g_xb,2*g_f)/3)),g_hef)</f>
        <v>16.6666666666667</v>
      </c>
    </row>
    <row r="54" customFormat="false" ht="15" hidden="false" customHeight="false" outlineLevel="0" collapsed="false">
      <c r="A54" s="44" t="s">
        <v>246</v>
      </c>
      <c r="B54" s="44" t="s">
        <v>247</v>
      </c>
      <c r="C54" s="44" t="s">
        <v>173</v>
      </c>
      <c r="D54" s="46" t="n">
        <f aca="false">9*g_h^2</f>
        <v>2500</v>
      </c>
    </row>
    <row r="55" customFormat="false" ht="15" hidden="false" customHeight="false" outlineLevel="0" collapsed="false">
      <c r="A55" s="44" t="s">
        <v>248</v>
      </c>
      <c r="B55" s="44" t="s">
        <v>259</v>
      </c>
      <c r="C55" s="44" t="s">
        <v>173</v>
      </c>
      <c r="D55" s="46" t="n">
        <f aca="false">MIN((2*g_xb+2*MIN(1.5*g_h,g_caS))*(2*g_f+2*MIN(1.5*g_h,g_caF)),a_n*g_ANco)</f>
        <v>7200</v>
      </c>
    </row>
    <row r="56" customFormat="false" ht="15" hidden="false" customHeight="false" outlineLevel="0" collapsed="false">
      <c r="A56" s="44" t="s">
        <v>250</v>
      </c>
      <c r="B56" s="44" t="s">
        <v>260</v>
      </c>
      <c r="C56" s="44" t="s">
        <v>196</v>
      </c>
      <c r="D56" s="45" t="n">
        <f aca="false">MIN(1,0.7+0.3*MIN(g_caF,g_caS)/(1.5*g_h))</f>
        <v>0.94</v>
      </c>
    </row>
    <row r="57" customFormat="false" ht="15" hidden="false" customHeight="false" outlineLevel="0" collapsed="false">
      <c r="A57" s="44" t="s">
        <v>261</v>
      </c>
      <c r="B57" s="44" t="s">
        <v>262</v>
      </c>
      <c r="C57" s="44" t="s">
        <v>235</v>
      </c>
      <c r="D57" s="46" t="n">
        <f aca="false">g_ANc/g_ANco*g_psied*psi_cN*24*SQRT(fc*14.2233)*(g_h/2.54)^1.5*0.453592</f>
        <v>27072.5616523</v>
      </c>
    </row>
    <row r="58" customFormat="false" ht="15" hidden="false" customHeight="false" outlineLevel="0" collapsed="false">
      <c r="A58" s="44" t="s">
        <v>263</v>
      </c>
      <c r="B58" s="44" t="s">
        <v>264</v>
      </c>
      <c r="C58" s="44" t="s">
        <v>235</v>
      </c>
      <c r="D58" s="46" t="n">
        <f aca="false">0.7*k_sis*IF(fisurado="Sí",1,1.4)*8*a_Abrg*fc</f>
        <v>33111.3220468601</v>
      </c>
    </row>
    <row r="59" customFormat="false" ht="15" hidden="false" customHeight="false" outlineLevel="0" collapsed="false">
      <c r="A59" s="44" t="s">
        <v>265</v>
      </c>
      <c r="B59" s="44" t="s">
        <v>266</v>
      </c>
      <c r="C59" s="44" t="s">
        <v>196</v>
      </c>
      <c r="D59" s="46" t="n">
        <f aca="false">IF(g_hef&gt;2.5*g_caF,1,0)</f>
        <v>0</v>
      </c>
    </row>
    <row r="60" customFormat="false" ht="15" hidden="false" customHeight="false" outlineLevel="0" collapsed="false">
      <c r="A60" s="44" t="s">
        <v>267</v>
      </c>
      <c r="B60" s="44" t="s">
        <v>268</v>
      </c>
      <c r="C60" s="44" t="s">
        <v>235</v>
      </c>
      <c r="D60" s="46" t="n">
        <f aca="false">0.7*k_sis*IF(AND(a_nf&gt;1,2*g_xb&lt;6*g_caF),(1+2*g_xb/(6*g_caF))*160*(g_caF/2.54)*SQRT(a_Abrg/6.4516)*SQRT(fc*14.2233),a_nf*160*(g_caF/2.54)*SQRT(a_Abrg/6.4516)*SQRT(fc*14.2233)*IF(g_caS&lt;3*g_caF,(1+MIN(3,MAX(1,g_caS/g_caF)))/4,1))*0.453592</f>
        <v>49440.2944301141</v>
      </c>
    </row>
    <row r="61" customFormat="false" ht="15" hidden="false" customHeight="false" outlineLevel="0" collapsed="false">
      <c r="A61" s="44" t="s">
        <v>269</v>
      </c>
      <c r="B61" s="44" t="s">
        <v>270</v>
      </c>
      <c r="C61" s="44" t="s">
        <v>196</v>
      </c>
      <c r="D61" s="46" t="n">
        <f aca="false">IF(g_hef&gt;2.5*g_caS,1,0)</f>
        <v>0</v>
      </c>
    </row>
    <row r="62" customFormat="false" ht="15" hidden="false" customHeight="false" outlineLevel="0" collapsed="false">
      <c r="A62" s="44" t="s">
        <v>271</v>
      </c>
      <c r="B62" s="44" t="s">
        <v>272</v>
      </c>
      <c r="C62" s="44" t="s">
        <v>235</v>
      </c>
      <c r="D62" s="46" t="n">
        <f aca="false">0.7*k_sis*160*(g_caS/2.54)*SQRT(a_Abrg/6.4516)*SQRT(fc*14.2233)*IF(g_caF&lt;3*g_caS,(1+MIN(3,MAX(1,g_caF/g_caS)))/4,1)*0.453592</f>
        <v>24720.1472150571</v>
      </c>
    </row>
    <row r="63" customFormat="false" ht="15" hidden="false" customHeight="false" outlineLevel="0" collapsed="false">
      <c r="A63" s="44" t="s">
        <v>273</v>
      </c>
      <c r="B63" s="44" t="s">
        <v>274</v>
      </c>
      <c r="C63" s="44" t="s">
        <v>173</v>
      </c>
      <c r="D63" s="47" t="n">
        <f aca="false">hp_n*INDEX(CATALOGOS!$AE$5:$AE$13,MATCH(hp_db,CATALOGOS!$AD$5:$AD$13,0))</f>
        <v>8.044</v>
      </c>
    </row>
    <row r="64" customFormat="false" ht="15" hidden="false" customHeight="false" outlineLevel="0" collapsed="false">
      <c r="A64" s="44" t="s">
        <v>275</v>
      </c>
      <c r="B64" s="44" t="s">
        <v>276</v>
      </c>
      <c r="C64" s="44" t="s">
        <v>235</v>
      </c>
      <c r="D64" s="46" t="n">
        <f aca="false">0.75*hp_As*hp_fy</f>
        <v>25338.6</v>
      </c>
    </row>
    <row r="65" customFormat="false" ht="15" hidden="false" customHeight="false" outlineLevel="0" collapsed="false">
      <c r="A65" s="44" t="s">
        <v>277</v>
      </c>
      <c r="B65" s="44" t="s">
        <v>278</v>
      </c>
      <c r="C65" s="44" t="s">
        <v>196</v>
      </c>
      <c r="D65" s="47" t="n">
        <f aca="false">IF(fisurado="No",1.4,IF(ref_borde="Sí",1.2,1))</f>
        <v>1.2</v>
      </c>
    </row>
    <row r="66" customFormat="false" ht="15" hidden="false" customHeight="false" outlineLevel="0" collapsed="false">
      <c r="A66" s="44" t="s">
        <v>279</v>
      </c>
      <c r="B66" s="44" t="s">
        <v>280</v>
      </c>
      <c r="C66" s="44" t="s">
        <v>97</v>
      </c>
      <c r="D66" s="45" t="n">
        <f aca="false">MIN(g_hef,8*a_da)</f>
        <v>20.32</v>
      </c>
    </row>
    <row r="67" customFormat="false" ht="15" hidden="false" customHeight="false" outlineLevel="0" collapsed="false">
      <c r="A67" s="44" t="s">
        <v>281</v>
      </c>
      <c r="B67" s="44" t="s">
        <v>282</v>
      </c>
      <c r="C67" s="44" t="s">
        <v>235</v>
      </c>
      <c r="D67" s="46" t="n">
        <f aca="false">MIN(7*(v_le/a_da)^0.2*SQRT(a_din),9)*SQRT(fc*14.2233)*(g_caF/2.54)^1.5*0.453592</f>
        <v>4929.60528803659</v>
      </c>
    </row>
    <row r="68" customFormat="false" ht="15" hidden="false" customHeight="false" outlineLevel="0" collapsed="false">
      <c r="A68" s="44" t="s">
        <v>283</v>
      </c>
      <c r="B68" s="44" t="s">
        <v>284</v>
      </c>
      <c r="C68" s="44" t="s">
        <v>196</v>
      </c>
      <c r="D68" s="45" t="n">
        <f aca="false">MIN(a_nf,(2*g_xb+2*MIN(1.5*g_caF,g_caS))*1.5*g_caF/(4.5*g_caF^2))</f>
        <v>1.33333333333333</v>
      </c>
    </row>
    <row r="69" customFormat="false" ht="15" hidden="false" customHeight="false" outlineLevel="0" collapsed="false">
      <c r="A69" s="44" t="s">
        <v>285</v>
      </c>
      <c r="B69" s="44" t="s">
        <v>286</v>
      </c>
      <c r="C69" s="44" t="s">
        <v>235</v>
      </c>
      <c r="D69" s="46" t="n">
        <f aca="false">0.7*vA_Avc*MIN(1,0.7+0.3*g_caS/(1.5*g_caF))*psi_cV*vA_Vb</f>
        <v>5245.10002647093</v>
      </c>
    </row>
    <row r="70" customFormat="false" ht="15" hidden="false" customHeight="false" outlineLevel="0" collapsed="false">
      <c r="A70" s="44" t="s">
        <v>281</v>
      </c>
      <c r="B70" s="44" t="s">
        <v>287</v>
      </c>
      <c r="C70" s="44" t="s">
        <v>235</v>
      </c>
      <c r="D70" s="46" t="n">
        <f aca="false">MIN(7*(v_le/a_da)^0.2*SQRT(a_din),9)*SQRT(fc*14.2233)*(g_caB/2.54)^1.5*0.453592</f>
        <v>32278.5645697585</v>
      </c>
    </row>
    <row r="71" customFormat="false" ht="15" hidden="false" customHeight="false" outlineLevel="0" collapsed="false">
      <c r="A71" s="44" t="s">
        <v>283</v>
      </c>
      <c r="B71" s="44" t="s">
        <v>288</v>
      </c>
      <c r="C71" s="44" t="s">
        <v>196</v>
      </c>
      <c r="D71" s="45" t="n">
        <f aca="false">MIN(a_nf,(2*g_xb+2*MIN(1.5*g_caB,g_caS))*1.5*g_caB/(4.5*g_caB^2))</f>
        <v>0.380952380952381</v>
      </c>
    </row>
    <row r="72" customFormat="false" ht="15" hidden="false" customHeight="false" outlineLevel="0" collapsed="false">
      <c r="A72" s="44" t="s">
        <v>285</v>
      </c>
      <c r="B72" s="44" t="s">
        <v>289</v>
      </c>
      <c r="C72" s="44" t="s">
        <v>235</v>
      </c>
      <c r="D72" s="46" t="n">
        <f aca="false">0.7*vB_Avc*MIN(1,0.7+0.3*g_caS/(1.5*g_caB))*psi_cV*vB_Vb</f>
        <v>7968.19422522037</v>
      </c>
    </row>
    <row r="73" customFormat="false" ht="15" hidden="false" customHeight="false" outlineLevel="0" collapsed="false">
      <c r="A73" s="44" t="s">
        <v>290</v>
      </c>
      <c r="B73" s="44" t="s">
        <v>291</v>
      </c>
      <c r="C73" s="44" t="s">
        <v>235</v>
      </c>
      <c r="D73" s="46" t="n">
        <f aca="false">0.7*IF(g_hef&gt;=6.35,2,1)*g_Ncb0</f>
        <v>37901.58631322</v>
      </c>
    </row>
    <row r="74" customFormat="false" ht="15" hidden="false" customHeight="false" outlineLevel="0" collapsed="false">
      <c r="A74" s="43" t="s">
        <v>292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</row>
    <row r="75" customFormat="false" ht="15" hidden="false" customHeight="false" outlineLevel="0" collapsed="false">
      <c r="A75" s="44" t="s">
        <v>293</v>
      </c>
      <c r="B75" s="44" t="s">
        <v>294</v>
      </c>
      <c r="C75" s="44" t="s">
        <v>48</v>
      </c>
      <c r="D75" s="46" t="n">
        <f aca="false">INDEX(CATALOGOS!$X$5:$X$6,MATCH(sold_elec,CATALOGOS!$W$5:$W$6,0))</f>
        <v>4920</v>
      </c>
    </row>
    <row r="76" customFormat="false" ht="15" hidden="false" customHeight="false" outlineLevel="0" collapsed="false">
      <c r="A76" s="44" t="s">
        <v>295</v>
      </c>
      <c r="B76" s="44" t="s">
        <v>296</v>
      </c>
      <c r="C76" s="44" t="s">
        <v>235</v>
      </c>
      <c r="D76" s="46" t="n">
        <f aca="false">0.75*0.6*w_FEXX*0.707*sold_wf/10*(2*c_bf-c_tw)*1.5</f>
        <v>66493.85904</v>
      </c>
    </row>
    <row r="77" customFormat="false" ht="15" hidden="false" customHeight="false" outlineLevel="0" collapsed="false">
      <c r="A77" s="44" t="s">
        <v>297</v>
      </c>
      <c r="B77" s="44" t="s">
        <v>298</v>
      </c>
      <c r="C77" s="44" t="s">
        <v>235</v>
      </c>
      <c r="D77" s="46" t="n">
        <f aca="false">0.75*0.6*w_FEXX*0.707*sold_ww/10*2*(c_d-2*c_tf)</f>
        <v>63112.81536</v>
      </c>
    </row>
    <row r="79" customFormat="false" ht="15" hidden="false" customHeight="false" outlineLevel="0" collapsed="false">
      <c r="A79" s="43" t="s">
        <v>299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</row>
    <row r="80" customFormat="false" ht="15" hidden="false" customHeight="false" outlineLevel="0" collapsed="false">
      <c r="A80" s="49" t="s">
        <v>300</v>
      </c>
      <c r="B80" s="49" t="s">
        <v>301</v>
      </c>
      <c r="C80" s="49" t="s">
        <v>302</v>
      </c>
      <c r="D80" s="49" t="n">
        <v>1</v>
      </c>
      <c r="E80" s="49" t="n">
        <v>2</v>
      </c>
      <c r="F80" s="49" t="n">
        <v>3</v>
      </c>
      <c r="G80" s="49" t="n">
        <v>4</v>
      </c>
      <c r="H80" s="49" t="n">
        <v>5</v>
      </c>
      <c r="I80" s="49" t="n">
        <v>6</v>
      </c>
      <c r="J80" s="49" t="n">
        <v>7</v>
      </c>
      <c r="K80" s="49" t="n">
        <v>8</v>
      </c>
      <c r="L80" s="49" t="n">
        <v>9</v>
      </c>
      <c r="M80" s="49" t="n">
        <v>10</v>
      </c>
    </row>
    <row r="81" customFormat="false" ht="15" hidden="false" customHeight="false" outlineLevel="0" collapsed="false">
      <c r="A81" s="44" t="s">
        <v>23</v>
      </c>
      <c r="B81" s="44" t="s">
        <v>303</v>
      </c>
      <c r="C81" s="44"/>
      <c r="D81" s="50" t="str">
        <f aca="false">IF(INDEX(cb_nom,1)="","",INDEX(cb_nom,1))</f>
        <v>1.4D</v>
      </c>
      <c r="E81" s="50" t="str">
        <f aca="false">IF(INDEX(cb_nom,2)="","",INDEX(cb_nom,2))</f>
        <v>1.2D+1.6L</v>
      </c>
      <c r="F81" s="50" t="str">
        <f aca="false">IF(INDEX(cb_nom,3)="","",INDEX(cb_nom,3))</f>
        <v>1.2D+1.0E+L</v>
      </c>
      <c r="G81" s="50" t="str">
        <f aca="false">IF(INDEX(cb_nom,4)="","",INDEX(cb_nom,4))</f>
        <v>0.9D+1.0E</v>
      </c>
      <c r="H81" s="50" t="str">
        <f aca="false">IF(INDEX(cb_nom,5)="","",INDEX(cb_nom,5))</f>
        <v>0.9D+1.0W</v>
      </c>
      <c r="I81" s="50" t="str">
        <f aca="false">IF(INDEX(cb_nom,6)="","",INDEX(cb_nom,6))</f>
        <v>C6</v>
      </c>
      <c r="J81" s="50" t="str">
        <f aca="false">IF(INDEX(cb_nom,7)="","",INDEX(cb_nom,7))</f>
        <v>C7</v>
      </c>
      <c r="K81" s="50" t="str">
        <f aca="false">IF(INDEX(cb_nom,8)="","",INDEX(cb_nom,8))</f>
        <v>C8</v>
      </c>
      <c r="L81" s="50" t="str">
        <f aca="false">IF(INDEX(cb_nom,9)="","",INDEX(cb_nom,9))</f>
        <v>C9</v>
      </c>
      <c r="M81" s="50" t="str">
        <f aca="false">IF(INDEX(cb_nom,10)="","",INDEX(cb_nom,10))</f>
        <v>C10</v>
      </c>
    </row>
    <row r="82" customFormat="false" ht="15" hidden="false" customHeight="false" outlineLevel="0" collapsed="false">
      <c r="A82" s="44" t="s">
        <v>304</v>
      </c>
      <c r="B82" s="44" t="s">
        <v>305</v>
      </c>
      <c r="C82" s="44" t="s">
        <v>235</v>
      </c>
      <c r="D82" s="51" t="n">
        <f aca="false">N(INDEX(cb_P,1))*1000</f>
        <v>9000</v>
      </c>
      <c r="E82" s="51" t="n">
        <f aca="false">N(INDEX(cb_P,2))*1000</f>
        <v>12000</v>
      </c>
      <c r="F82" s="51" t="n">
        <f aca="false">N(INDEX(cb_P,3))*1000</f>
        <v>8000</v>
      </c>
      <c r="G82" s="51" t="n">
        <f aca="false">N(INDEX(cb_P,4))*1000</f>
        <v>3000</v>
      </c>
      <c r="H82" s="51" t="n">
        <f aca="false">N(INDEX(cb_P,5))*1000</f>
        <v>-3500</v>
      </c>
      <c r="I82" s="51" t="n">
        <f aca="false">N(INDEX(cb_P,6))*1000</f>
        <v>0</v>
      </c>
      <c r="J82" s="51" t="n">
        <f aca="false">N(INDEX(cb_P,7))*1000</f>
        <v>0</v>
      </c>
      <c r="K82" s="51" t="n">
        <f aca="false">N(INDEX(cb_P,8))*1000</f>
        <v>0</v>
      </c>
      <c r="L82" s="51" t="n">
        <f aca="false">N(INDEX(cb_P,9))*1000</f>
        <v>0</v>
      </c>
      <c r="M82" s="51" t="n">
        <f aca="false">N(INDEX(cb_P,10))*1000</f>
        <v>0</v>
      </c>
    </row>
    <row r="83" customFormat="false" ht="15" hidden="false" customHeight="false" outlineLevel="0" collapsed="false">
      <c r="A83" s="44" t="s">
        <v>306</v>
      </c>
      <c r="B83" s="44" t="s">
        <v>307</v>
      </c>
      <c r="C83" s="44" t="s">
        <v>235</v>
      </c>
      <c r="D83" s="51" t="n">
        <f aca="false">ABS(N(INDEX(cb_V,1)))*1000</f>
        <v>600</v>
      </c>
      <c r="E83" s="51" t="n">
        <f aca="false">ABS(N(INDEX(cb_V,2)))*1000</f>
        <v>1200</v>
      </c>
      <c r="F83" s="51" t="n">
        <f aca="false">ABS(N(INDEX(cb_V,3)))*1000</f>
        <v>3500</v>
      </c>
      <c r="G83" s="51" t="n">
        <f aca="false">ABS(N(INDEX(cb_V,4)))*1000</f>
        <v>3500</v>
      </c>
      <c r="H83" s="51" t="n">
        <f aca="false">ABS(N(INDEX(cb_V,5)))*1000</f>
        <v>2000</v>
      </c>
      <c r="I83" s="51" t="n">
        <f aca="false">ABS(N(INDEX(cb_V,6)))*1000</f>
        <v>0</v>
      </c>
      <c r="J83" s="51" t="n">
        <f aca="false">ABS(N(INDEX(cb_V,7)))*1000</f>
        <v>0</v>
      </c>
      <c r="K83" s="51" t="n">
        <f aca="false">ABS(N(INDEX(cb_V,8)))*1000</f>
        <v>0</v>
      </c>
      <c r="L83" s="51" t="n">
        <f aca="false">ABS(N(INDEX(cb_V,9)))*1000</f>
        <v>0</v>
      </c>
      <c r="M83" s="51" t="n">
        <f aca="false">ABS(N(INDEX(cb_V,10)))*1000</f>
        <v>0</v>
      </c>
    </row>
    <row r="84" customFormat="false" ht="15" hidden="false" customHeight="false" outlineLevel="0" collapsed="false">
      <c r="A84" s="44" t="s">
        <v>308</v>
      </c>
      <c r="B84" s="44" t="s">
        <v>309</v>
      </c>
      <c r="C84" s="44" t="s">
        <v>310</v>
      </c>
      <c r="D84" s="51" t="n">
        <f aca="false">ABS(N(INDEX(cb_M,1)))*100000</f>
        <v>80000</v>
      </c>
      <c r="E84" s="51" t="n">
        <f aca="false">ABS(N(INDEX(cb_M,2)))*100000</f>
        <v>250000</v>
      </c>
      <c r="F84" s="51" t="n">
        <f aca="false">ABS(N(INDEX(cb_M,3)))*100000</f>
        <v>900000</v>
      </c>
      <c r="G84" s="51" t="n">
        <f aca="false">ABS(N(INDEX(cb_M,4)))*100000</f>
        <v>880000</v>
      </c>
      <c r="H84" s="51" t="n">
        <f aca="false">ABS(N(INDEX(cb_M,5)))*100000</f>
        <v>250000</v>
      </c>
      <c r="I84" s="51" t="n">
        <f aca="false">ABS(N(INDEX(cb_M,6)))*100000</f>
        <v>0</v>
      </c>
      <c r="J84" s="51" t="n">
        <f aca="false">ABS(N(INDEX(cb_M,7)))*100000</f>
        <v>0</v>
      </c>
      <c r="K84" s="51" t="n">
        <f aca="false">ABS(N(INDEX(cb_M,8)))*100000</f>
        <v>0</v>
      </c>
      <c r="L84" s="51" t="n">
        <f aca="false">ABS(N(INDEX(cb_M,9)))*100000</f>
        <v>0</v>
      </c>
      <c r="M84" s="51" t="n">
        <f aca="false">ABS(N(INDEX(cb_M,10)))*100000</f>
        <v>0</v>
      </c>
    </row>
    <row r="85" customFormat="false" ht="15" hidden="false" customHeight="false" outlineLevel="0" collapsed="false">
      <c r="A85" s="44" t="s">
        <v>311</v>
      </c>
      <c r="B85" s="44" t="s">
        <v>312</v>
      </c>
      <c r="C85" s="44" t="s">
        <v>196</v>
      </c>
      <c r="D85" s="51" t="n">
        <f aca="false">IF(ABS(D82)+D83+D84&gt;0,1,0)</f>
        <v>1</v>
      </c>
      <c r="E85" s="51" t="n">
        <f aca="false">IF(ABS(E82)+E83+E84&gt;0,1,0)</f>
        <v>1</v>
      </c>
      <c r="F85" s="51" t="n">
        <f aca="false">IF(ABS(F82)+F83+F84&gt;0,1,0)</f>
        <v>1</v>
      </c>
      <c r="G85" s="51" t="n">
        <f aca="false">IF(ABS(G82)+G83+G84&gt;0,1,0)</f>
        <v>1</v>
      </c>
      <c r="H85" s="51" t="n">
        <f aca="false">IF(ABS(H82)+H83+H84&gt;0,1,0)</f>
        <v>1</v>
      </c>
      <c r="I85" s="51" t="n">
        <f aca="false">IF(ABS(I82)+I83+I84&gt;0,1,0)</f>
        <v>0</v>
      </c>
      <c r="J85" s="51" t="n">
        <f aca="false">IF(ABS(J82)+J83+J84&gt;0,1,0)</f>
        <v>0</v>
      </c>
      <c r="K85" s="51" t="n">
        <f aca="false">IF(ABS(K82)+K83+K84&gt;0,1,0)</f>
        <v>0</v>
      </c>
      <c r="L85" s="51" t="n">
        <f aca="false">IF(ABS(L82)+L83+L84&gt;0,1,0)</f>
        <v>0</v>
      </c>
      <c r="M85" s="51" t="n">
        <f aca="false">IF(ABS(M82)+M83+M84&gt;0,1,0)</f>
        <v>0</v>
      </c>
    </row>
    <row r="86" customFormat="false" ht="15" hidden="false" customHeight="false" outlineLevel="0" collapsed="false">
      <c r="A86" s="44" t="s">
        <v>313</v>
      </c>
      <c r="B86" s="44" t="s">
        <v>314</v>
      </c>
      <c r="C86" s="44" t="s">
        <v>97</v>
      </c>
      <c r="D86" s="52" t="n">
        <f aca="false">IF(D82&gt;0,D84/D82,0)</f>
        <v>8.88888888888889</v>
      </c>
      <c r="E86" s="52" t="n">
        <f aca="false">IF(E82&gt;0,E84/E82,0)</f>
        <v>20.8333333333333</v>
      </c>
      <c r="F86" s="52" t="n">
        <f aca="false">IF(F82&gt;0,F84/F82,0)</f>
        <v>112.5</v>
      </c>
      <c r="G86" s="52" t="n">
        <f aca="false">IF(G82&gt;0,G84/G82,0)</f>
        <v>293.333333333333</v>
      </c>
      <c r="H86" s="52" t="n">
        <f aca="false">IF(H82&gt;0,H84/H82,0)</f>
        <v>0</v>
      </c>
      <c r="I86" s="52" t="n">
        <f aca="false">IF(I82&gt;0,I84/I82,0)</f>
        <v>0</v>
      </c>
      <c r="J86" s="52" t="n">
        <f aca="false">IF(J82&gt;0,J84/J82,0)</f>
        <v>0</v>
      </c>
      <c r="K86" s="52" t="n">
        <f aca="false">IF(K82&gt;0,K84/K82,0)</f>
        <v>0</v>
      </c>
      <c r="L86" s="52" t="n">
        <f aca="false">IF(L82&gt;0,L84/L82,0)</f>
        <v>0</v>
      </c>
      <c r="M86" s="52" t="n">
        <f aca="false">IF(M82&gt;0,M84/M82,0)</f>
        <v>0</v>
      </c>
    </row>
    <row r="87" customFormat="false" ht="15" hidden="false" customHeight="false" outlineLevel="0" collapsed="false">
      <c r="A87" s="44" t="s">
        <v>315</v>
      </c>
      <c r="B87" s="44" t="s">
        <v>316</v>
      </c>
      <c r="C87" s="44" t="s">
        <v>97</v>
      </c>
      <c r="D87" s="52" t="n">
        <f aca="false">p_N/2-D82/(2*b_qmax)</f>
        <v>29.3535875888817</v>
      </c>
      <c r="E87" s="52" t="n">
        <f aca="false">p_N/2-E82/(2*b_qmax)</f>
        <v>29.1381167851756</v>
      </c>
      <c r="F87" s="52" t="n">
        <f aca="false">p_N/2-F82/(2*b_qmax)</f>
        <v>29.4254111901171</v>
      </c>
      <c r="G87" s="52" t="n">
        <f aca="false">p_N/2-G82/(2*b_qmax)</f>
        <v>29.7845291962939</v>
      </c>
      <c r="H87" s="52" t="n">
        <f aca="false">p_N/2-H82/(2*b_qmax)</f>
        <v>30.2513826043238</v>
      </c>
      <c r="I87" s="52" t="n">
        <f aca="false">p_N/2-I82/(2*b_qmax)</f>
        <v>30</v>
      </c>
      <c r="J87" s="52" t="n">
        <f aca="false">p_N/2-J82/(2*b_qmax)</f>
        <v>30</v>
      </c>
      <c r="K87" s="52" t="n">
        <f aca="false">p_N/2-K82/(2*b_qmax)</f>
        <v>30</v>
      </c>
      <c r="L87" s="52" t="n">
        <f aca="false">p_N/2-L82/(2*b_qmax)</f>
        <v>30</v>
      </c>
      <c r="M87" s="52" t="n">
        <f aca="false">p_N/2-M82/(2*b_qmax)</f>
        <v>30</v>
      </c>
    </row>
    <row r="88" customFormat="false" ht="15" hidden="false" customHeight="false" outlineLevel="0" collapsed="false">
      <c r="A88" s="44" t="s">
        <v>317</v>
      </c>
      <c r="B88" s="44" t="s">
        <v>318</v>
      </c>
      <c r="C88" s="44" t="s">
        <v>319</v>
      </c>
      <c r="D88" s="51" t="n">
        <f aca="false">IF(D85=0,0,IF(D82&gt;0,IF(D86&lt;=D87,1,2),IF(D84+D82*g_f&gt;0,2,3)))</f>
        <v>1</v>
      </c>
      <c r="E88" s="51" t="n">
        <f aca="false">IF(E85=0,0,IF(E82&gt;0,IF(E86&lt;=E87,1,2),IF(E84+E82*g_f&gt;0,2,3)))</f>
        <v>1</v>
      </c>
      <c r="F88" s="51" t="n">
        <f aca="false">IF(F85=0,0,IF(F82&gt;0,IF(F86&lt;=F87,1,2),IF(F84+F82*g_f&gt;0,2,3)))</f>
        <v>2</v>
      </c>
      <c r="G88" s="51" t="n">
        <f aca="false">IF(G85=0,0,IF(G82&gt;0,IF(G86&lt;=G87,1,2),IF(G84+G82*g_f&gt;0,2,3)))</f>
        <v>2</v>
      </c>
      <c r="H88" s="51" t="n">
        <f aca="false">IF(H85=0,0,IF(H82&gt;0,IF(H86&lt;=H87,1,2),IF(H84+H82*g_f&gt;0,2,3)))</f>
        <v>2</v>
      </c>
      <c r="I88" s="51" t="n">
        <f aca="false">IF(I85=0,0,IF(I82&gt;0,IF(I86&lt;=I87,1,2),IF(I84+I82*g_f&gt;0,2,3)))</f>
        <v>0</v>
      </c>
      <c r="J88" s="51" t="n">
        <f aca="false">IF(J85=0,0,IF(J82&gt;0,IF(J86&lt;=J87,1,2),IF(J84+J82*g_f&gt;0,2,3)))</f>
        <v>0</v>
      </c>
      <c r="K88" s="51" t="n">
        <f aca="false">IF(K85=0,0,IF(K82&gt;0,IF(K86&lt;=K87,1,2),IF(K84+K82*g_f&gt;0,2,3)))</f>
        <v>0</v>
      </c>
      <c r="L88" s="51" t="n">
        <f aca="false">IF(L85=0,0,IF(L82&gt;0,IF(L86&lt;=L87,1,2),IF(L84+L82*g_f&gt;0,2,3)))</f>
        <v>0</v>
      </c>
      <c r="M88" s="51" t="n">
        <f aca="false">IF(M85=0,0,IF(M82&gt;0,IF(M86&lt;=M87,1,2),IF(M84+M82*g_f&gt;0,2,3)))</f>
        <v>0</v>
      </c>
    </row>
    <row r="89" customFormat="false" ht="15" hidden="false" customHeight="false" outlineLevel="0" collapsed="false">
      <c r="A89" s="44" t="s">
        <v>320</v>
      </c>
      <c r="B89" s="44" t="s">
        <v>321</v>
      </c>
      <c r="C89" s="44" t="s">
        <v>173</v>
      </c>
      <c r="D89" s="53" t="n">
        <f aca="false">(g_f+p_N/2)^2-2*(D84+D82*g_f)/b_qmax</f>
        <v>2937.37520649285</v>
      </c>
      <c r="E89" s="53" t="n">
        <f aca="false">(g_f+p_N/2)^2-2*(E84+E82*g_f)/b_qmax</f>
        <v>2866.9880772822</v>
      </c>
      <c r="F89" s="53" t="n">
        <f aca="false">(g_f+p_N/2)^2-2*(F84+F82*g_f)/b_qmax</f>
        <v>2708.97615456439</v>
      </c>
      <c r="G89" s="53" t="n">
        <f aca="false">(g_f+p_N/2)^2-2*(G84+G82*g_f)/b_qmax</f>
        <v>2750.6338432809</v>
      </c>
      <c r="H89" s="53" t="n">
        <f aca="false">(g_f+p_N/2)^2-2*(H84+H82*g_f)/b_qmax</f>
        <v>2978.31465919701</v>
      </c>
      <c r="I89" s="53" t="n">
        <f aca="false">(g_f+p_N/2)^2-2*(I84+I82*g_f)/b_qmax</f>
        <v>3025</v>
      </c>
      <c r="J89" s="53" t="n">
        <f aca="false">(g_f+p_N/2)^2-2*(J84+J82*g_f)/b_qmax</f>
        <v>3025</v>
      </c>
      <c r="K89" s="53" t="n">
        <f aca="false">(g_f+p_N/2)^2-2*(K84+K82*g_f)/b_qmax</f>
        <v>3025</v>
      </c>
      <c r="L89" s="53" t="n">
        <f aca="false">(g_f+p_N/2)^2-2*(L84+L82*g_f)/b_qmax</f>
        <v>3025</v>
      </c>
      <c r="M89" s="53" t="n">
        <f aca="false">(g_f+p_N/2)^2-2*(M84+M82*g_f)/b_qmax</f>
        <v>3025</v>
      </c>
    </row>
    <row r="90" customFormat="false" ht="15" hidden="false" customHeight="false" outlineLevel="0" collapsed="false">
      <c r="A90" s="44" t="s">
        <v>322</v>
      </c>
      <c r="B90" s="44" t="s">
        <v>323</v>
      </c>
      <c r="C90" s="44" t="s">
        <v>97</v>
      </c>
      <c r="D90" s="52" t="n">
        <f aca="false">IF(D88=1,p_N-2*D86,IF(D88=2,g_f+p_N/2-SQRT(MAX(D89,0)),0))</f>
        <v>42.2222222222222</v>
      </c>
      <c r="E90" s="52" t="n">
        <f aca="false">IF(E88=1,p_N-2*E86,IF(E88=2,g_f+p_N/2-SQRT(MAX(E89,0)),0))</f>
        <v>18.3333333333333</v>
      </c>
      <c r="F90" s="52" t="n">
        <f aca="false">IF(F88=1,p_N-2*F86,IF(F88=2,g_f+p_N/2-SQRT(MAX(F89,0)),0))</f>
        <v>2.95217435315487</v>
      </c>
      <c r="G90" s="52" t="n">
        <f aca="false">IF(G88=1,p_N-2*G86,IF(G88=2,g_f+p_N/2-SQRT(MAX(G89,0)),0))</f>
        <v>2.55351448113132</v>
      </c>
      <c r="H90" s="52" t="n">
        <f aca="false">IF(H88=1,p_N-2*H86,IF(H88=2,g_f+p_N/2-SQRT(MAX(H89,0)),0))</f>
        <v>0.426062454711847</v>
      </c>
      <c r="I90" s="52" t="n">
        <f aca="false">IF(I88=1,p_N-2*I86,IF(I88=2,g_f+p_N/2-SQRT(MAX(I89,0)),0))</f>
        <v>0</v>
      </c>
      <c r="J90" s="52" t="n">
        <f aca="false">IF(J88=1,p_N-2*J86,IF(J88=2,g_f+p_N/2-SQRT(MAX(J89,0)),0))</f>
        <v>0</v>
      </c>
      <c r="K90" s="52" t="n">
        <f aca="false">IF(K88=1,p_N-2*K86,IF(K88=2,g_f+p_N/2-SQRT(MAX(K89,0)),0))</f>
        <v>0</v>
      </c>
      <c r="L90" s="52" t="n">
        <f aca="false">IF(L88=1,p_N-2*L86,IF(L88=2,g_f+p_N/2-SQRT(MAX(L89,0)),0))</f>
        <v>0</v>
      </c>
      <c r="M90" s="52" t="n">
        <f aca="false">IF(M88=1,p_N-2*M86,IF(M88=2,g_f+p_N/2-SQRT(MAX(M89,0)),0))</f>
        <v>0</v>
      </c>
    </row>
    <row r="91" customFormat="false" ht="15" hidden="false" customHeight="false" outlineLevel="0" collapsed="false">
      <c r="A91" s="44" t="s">
        <v>324</v>
      </c>
      <c r="B91" s="44" t="s">
        <v>325</v>
      </c>
      <c r="C91" s="44" t="s">
        <v>48</v>
      </c>
      <c r="D91" s="52" t="n">
        <f aca="false">IF(D88=1,D82/(D90*p_B),IF(D88=2,b_fpu,0))</f>
        <v>5.32894736842105</v>
      </c>
      <c r="E91" s="52" t="n">
        <f aca="false">IF(E88=1,E82/(E90*p_B),IF(E88=2,b_fpu,0))</f>
        <v>16.3636363636364</v>
      </c>
      <c r="F91" s="52" t="n">
        <f aca="false">IF(F88=1,F82/(F90*p_B),IF(F88=2,b_fpu,0))</f>
        <v>174.0375</v>
      </c>
      <c r="G91" s="52" t="n">
        <f aca="false">IF(G88=1,G82/(G90*p_B),IF(G88=2,b_fpu,0))</f>
        <v>174.0375</v>
      </c>
      <c r="H91" s="52" t="n">
        <f aca="false">IF(H88=1,H82/(H90*p_B),IF(H88=2,b_fpu,0))</f>
        <v>174.0375</v>
      </c>
      <c r="I91" s="52" t="n">
        <f aca="false">IF(I88=1,I82/(I90*p_B),IF(I88=2,b_fpu,0))</f>
        <v>0</v>
      </c>
      <c r="J91" s="52" t="n">
        <f aca="false">IF(J88=1,J82/(J90*p_B),IF(J88=2,b_fpu,0))</f>
        <v>0</v>
      </c>
      <c r="K91" s="52" t="n">
        <f aca="false">IF(K88=1,K82/(K90*p_B),IF(K88=2,b_fpu,0))</f>
        <v>0</v>
      </c>
      <c r="L91" s="52" t="n">
        <f aca="false">IF(L88=1,L82/(L90*p_B),IF(L88=2,b_fpu,0))</f>
        <v>0</v>
      </c>
      <c r="M91" s="52" t="n">
        <f aca="false">IF(M88=1,M82/(M90*p_B),IF(M88=2,b_fpu,0))</f>
        <v>0</v>
      </c>
    </row>
    <row r="92" customFormat="false" ht="15" hidden="false" customHeight="false" outlineLevel="0" collapsed="false">
      <c r="A92" s="44" t="s">
        <v>326</v>
      </c>
      <c r="B92" s="44" t="s">
        <v>327</v>
      </c>
      <c r="C92" s="44" t="s">
        <v>196</v>
      </c>
      <c r="D92" s="54" t="n">
        <f aca="false">IF(D88=1,D91/b_fpu,IF(D88=2,2*(D84+D82*g_f)/(b_qmax*(g_f+p_N/2)^2),0))</f>
        <v>0.0306195352634981</v>
      </c>
      <c r="E92" s="54" t="n">
        <f aca="false">IF(E88=1,E91/b_fpu,IF(E88=2,2*(E84+E82*g_f)/(b_qmax*(g_f+p_N/2)^2),0))</f>
        <v>0.0940236234353881</v>
      </c>
      <c r="F92" s="54" t="n">
        <f aca="false">IF(F88=1,F91/b_fpu,IF(F88=2,2*(F84+F82*g_f)/(b_qmax*(g_f+p_N/2)^2),0))</f>
        <v>0.104470692705987</v>
      </c>
      <c r="G92" s="54" t="n">
        <f aca="false">IF(G88=1,G91/b_fpu,IF(G88=2,2*(G84+G82*g_f)/(b_qmax*(g_f+p_N/2)^2),0))</f>
        <v>0.0906995559401977</v>
      </c>
      <c r="H92" s="54" t="n">
        <f aca="false">IF(H88=1,H91/b_fpu,IF(H88=2,2*(H84+H82*g_f)/(b_qmax*(g_f+p_N/2)^2),0))</f>
        <v>0.0154331705133844</v>
      </c>
      <c r="I92" s="54" t="n">
        <f aca="false">IF(I88=1,I91/b_fpu,IF(I88=2,2*(I84+I82*g_f)/(b_qmax*(g_f+p_N/2)^2),0))</f>
        <v>0</v>
      </c>
      <c r="J92" s="54" t="n">
        <f aca="false">IF(J88=1,J91/b_fpu,IF(J88=2,2*(J84+J82*g_f)/(b_qmax*(g_f+p_N/2)^2),0))</f>
        <v>0</v>
      </c>
      <c r="K92" s="54" t="n">
        <f aca="false">IF(K88=1,K91/b_fpu,IF(K88=2,2*(K84+K82*g_f)/(b_qmax*(g_f+p_N/2)^2),0))</f>
        <v>0</v>
      </c>
      <c r="L92" s="54" t="n">
        <f aca="false">IF(L88=1,L91/b_fpu,IF(L88=2,2*(L84+L82*g_f)/(b_qmax*(g_f+p_N/2)^2),0))</f>
        <v>0</v>
      </c>
      <c r="M92" s="54" t="n">
        <f aca="false">IF(M88=1,M91/b_fpu,IF(M88=2,2*(M84+M82*g_f)/(b_qmax*(g_f+p_N/2)^2),0))</f>
        <v>0</v>
      </c>
    </row>
    <row r="93" customFormat="false" ht="15" hidden="false" customHeight="false" outlineLevel="0" collapsed="false">
      <c r="A93" s="44" t="s">
        <v>328</v>
      </c>
      <c r="B93" s="44" t="s">
        <v>329</v>
      </c>
      <c r="C93" s="44"/>
      <c r="D93" s="52" t="n">
        <f aca="false">IF(D88=1,D91,IF(D88=2,(D84+D82*g_f)/100000,0))</f>
        <v>5.32894736842105</v>
      </c>
      <c r="E93" s="52" t="n">
        <f aca="false">IF(E88=1,E91,IF(E88=2,(E84+E82*g_f)/100000,0))</f>
        <v>16.3636363636364</v>
      </c>
      <c r="F93" s="52" t="n">
        <f aca="false">IF(F88=1,F91,IF(F88=2,(F84+F82*g_f)/100000,0))</f>
        <v>11</v>
      </c>
      <c r="G93" s="52" t="n">
        <f aca="false">IF(G88=1,G91,IF(G88=2,(G84+G82*g_f)/100000,0))</f>
        <v>9.55</v>
      </c>
      <c r="H93" s="52" t="n">
        <f aca="false">IF(H88=1,H91,IF(H88=2,(H84+H82*g_f)/100000,0))</f>
        <v>1.625</v>
      </c>
      <c r="I93" s="52" t="n">
        <f aca="false">IF(I88=1,I91,IF(I88=2,(I84+I82*g_f)/100000,0))</f>
        <v>0</v>
      </c>
      <c r="J93" s="52" t="n">
        <f aca="false">IF(J88=1,J91,IF(J88=2,(J84+J82*g_f)/100000,0))</f>
        <v>0</v>
      </c>
      <c r="K93" s="52" t="n">
        <f aca="false">IF(K88=1,K91,IF(K88=2,(K84+K82*g_f)/100000,0))</f>
        <v>0</v>
      </c>
      <c r="L93" s="52" t="n">
        <f aca="false">IF(L88=1,L91,IF(L88=2,(L84+L82*g_f)/100000,0))</f>
        <v>0</v>
      </c>
      <c r="M93" s="52" t="n">
        <f aca="false">IF(M88=1,M91,IF(M88=2,(M84+M82*g_f)/100000,0))</f>
        <v>0</v>
      </c>
    </row>
    <row r="94" customFormat="false" ht="15" hidden="false" customHeight="false" outlineLevel="0" collapsed="false">
      <c r="A94" s="44" t="s">
        <v>330</v>
      </c>
      <c r="B94" s="44" t="s">
        <v>331</v>
      </c>
      <c r="C94" s="44"/>
      <c r="D94" s="52" t="n">
        <f aca="false">IF(D88=2,b_qmax*(g_f+p_N/2)^2/2/100000,b_fpu)</f>
        <v>174.0375</v>
      </c>
      <c r="E94" s="52" t="n">
        <f aca="false">IF(E88=2,b_qmax*(g_f+p_N/2)^2/2/100000,b_fpu)</f>
        <v>174.0375</v>
      </c>
      <c r="F94" s="52" t="n">
        <f aca="false">IF(F88=2,b_qmax*(g_f+p_N/2)^2/2/100000,b_fpu)</f>
        <v>105.2926875</v>
      </c>
      <c r="G94" s="52" t="n">
        <f aca="false">IF(G88=2,b_qmax*(g_f+p_N/2)^2/2/100000,b_fpu)</f>
        <v>105.2926875</v>
      </c>
      <c r="H94" s="52" t="n">
        <f aca="false">IF(H88=2,b_qmax*(g_f+p_N/2)^2/2/100000,b_fpu)</f>
        <v>105.2926875</v>
      </c>
      <c r="I94" s="52" t="n">
        <f aca="false">IF(I88=2,b_qmax*(g_f+p_N/2)^2/2/100000,b_fpu)</f>
        <v>174.0375</v>
      </c>
      <c r="J94" s="52" t="n">
        <f aca="false">IF(J88=2,b_qmax*(g_f+p_N/2)^2/2/100000,b_fpu)</f>
        <v>174.0375</v>
      </c>
      <c r="K94" s="52" t="n">
        <f aca="false">IF(K88=2,b_qmax*(g_f+p_N/2)^2/2/100000,b_fpu)</f>
        <v>174.0375</v>
      </c>
      <c r="L94" s="52" t="n">
        <f aca="false">IF(L88=2,b_qmax*(g_f+p_N/2)^2/2/100000,b_fpu)</f>
        <v>174.0375</v>
      </c>
      <c r="M94" s="52" t="n">
        <f aca="false">IF(M88=2,b_qmax*(g_f+p_N/2)^2/2/100000,b_fpu)</f>
        <v>174.0375</v>
      </c>
    </row>
    <row r="95" customFormat="false" ht="15" hidden="false" customHeight="false" outlineLevel="0" collapsed="false">
      <c r="A95" s="44" t="s">
        <v>332</v>
      </c>
      <c r="B95" s="44" t="s">
        <v>333</v>
      </c>
      <c r="C95" s="44" t="s">
        <v>235</v>
      </c>
      <c r="D95" s="51" t="n">
        <f aca="false">IF(D88=2,MAX(0,b_qmax*D90-D82),IF(D88=3,-D82/2+D84/(2*g_f),0))</f>
        <v>0</v>
      </c>
      <c r="E95" s="51" t="n">
        <f aca="false">IF(E88=2,MAX(0,b_qmax*E90-E82),IF(E88=3,-E82/2+E84/(2*g_f),0))</f>
        <v>0</v>
      </c>
      <c r="F95" s="51" t="n">
        <f aca="false">IF(F88=2,MAX(0,b_qmax*F90-F82),IF(F88=3,-F82/2+F84/(2*g_f),0))</f>
        <v>12551.5617594877</v>
      </c>
      <c r="G95" s="51" t="n">
        <f aca="false">IF(G88=2,MAX(0,b_qmax*G90-G82),IF(G88=3,-G82/2+G84/(2*g_f),0))</f>
        <v>14776.2910603957</v>
      </c>
      <c r="H95" s="51" t="n">
        <f aca="false">IF(H88=2,MAX(0,b_qmax*H90-H82),IF(H88=3,-H82/2+H84/(2*g_f),0))</f>
        <v>6466.03377847652</v>
      </c>
      <c r="I95" s="51" t="n">
        <f aca="false">IF(I88=2,MAX(0,b_qmax*I90-I82),IF(I88=3,-I82/2+I84/(2*g_f),0))</f>
        <v>0</v>
      </c>
      <c r="J95" s="51" t="n">
        <f aca="false">IF(J88=2,MAX(0,b_qmax*J90-J82),IF(J88=3,-J82/2+J84/(2*g_f),0))</f>
        <v>0</v>
      </c>
      <c r="K95" s="51" t="n">
        <f aca="false">IF(K88=2,MAX(0,b_qmax*K90-K82),IF(K88=3,-K82/2+K84/(2*g_f),0))</f>
        <v>0</v>
      </c>
      <c r="L95" s="51" t="n">
        <f aca="false">IF(L88=2,MAX(0,b_qmax*L90-L82),IF(L88=3,-L82/2+L84/(2*g_f),0))</f>
        <v>0</v>
      </c>
      <c r="M95" s="51" t="n">
        <f aca="false">IF(M88=2,MAX(0,b_qmax*M90-M82),IF(M88=3,-M82/2+M84/(2*g_f),0))</f>
        <v>0</v>
      </c>
    </row>
    <row r="96" customFormat="false" ht="15" hidden="false" customHeight="false" outlineLevel="0" collapsed="false">
      <c r="A96" s="44" t="s">
        <v>334</v>
      </c>
      <c r="B96" s="44" t="s">
        <v>335</v>
      </c>
      <c r="C96" s="44" t="s">
        <v>196</v>
      </c>
      <c r="D96" s="54" t="n">
        <f aca="false">IF(AND(D88=1,D84=0),MIN(1,IF(4*c_d*c_bf/(c_d+c_bf)^2*D82/(b_fpu*p_N*p_B)&gt;=1,1,2*SQRT(4*c_d*c_bf/(c_d+c_bf)^2*D82/(b_fpu*p_N*p_B))/(1+SQRT(1-4*c_d*c_bf/(c_d+c_bf)^2*D82/(b_fpu*p_N*p_B))))),0)</f>
        <v>0</v>
      </c>
      <c r="E96" s="54" t="n">
        <f aca="false">IF(AND(E88=1,E84=0),MIN(1,IF(4*c_d*c_bf/(c_d+c_bf)^2*E82/(b_fpu*p_N*p_B)&gt;=1,1,2*SQRT(4*c_d*c_bf/(c_d+c_bf)^2*E82/(b_fpu*p_N*p_B))/(1+SQRT(1-4*c_d*c_bf/(c_d+c_bf)^2*E82/(b_fpu*p_N*p_B))))),0)</f>
        <v>0</v>
      </c>
      <c r="F96" s="54" t="n">
        <f aca="false">IF(AND(F88=1,F84=0),MIN(1,IF(4*c_d*c_bf/(c_d+c_bf)^2*F82/(b_fpu*p_N*p_B)&gt;=1,1,2*SQRT(4*c_d*c_bf/(c_d+c_bf)^2*F82/(b_fpu*p_N*p_B))/(1+SQRT(1-4*c_d*c_bf/(c_d+c_bf)^2*F82/(b_fpu*p_N*p_B))))),0)</f>
        <v>0</v>
      </c>
      <c r="G96" s="54" t="n">
        <f aca="false">IF(AND(G88=1,G84=0),MIN(1,IF(4*c_d*c_bf/(c_d+c_bf)^2*G82/(b_fpu*p_N*p_B)&gt;=1,1,2*SQRT(4*c_d*c_bf/(c_d+c_bf)^2*G82/(b_fpu*p_N*p_B))/(1+SQRT(1-4*c_d*c_bf/(c_d+c_bf)^2*G82/(b_fpu*p_N*p_B))))),0)</f>
        <v>0</v>
      </c>
      <c r="H96" s="54" t="n">
        <f aca="false">IF(AND(H88=1,H84=0),MIN(1,IF(4*c_d*c_bf/(c_d+c_bf)^2*H82/(b_fpu*p_N*p_B)&gt;=1,1,2*SQRT(4*c_d*c_bf/(c_d+c_bf)^2*H82/(b_fpu*p_N*p_B))/(1+SQRT(1-4*c_d*c_bf/(c_d+c_bf)^2*H82/(b_fpu*p_N*p_B))))),0)</f>
        <v>0</v>
      </c>
      <c r="I96" s="54" t="n">
        <f aca="false">IF(AND(I88=1,I84=0),MIN(1,IF(4*c_d*c_bf/(c_d+c_bf)^2*I82/(b_fpu*p_N*p_B)&gt;=1,1,2*SQRT(4*c_d*c_bf/(c_d+c_bf)^2*I82/(b_fpu*p_N*p_B))/(1+SQRT(1-4*c_d*c_bf/(c_d+c_bf)^2*I82/(b_fpu*p_N*p_B))))),0)</f>
        <v>0</v>
      </c>
      <c r="J96" s="54" t="n">
        <f aca="false">IF(AND(J88=1,J84=0),MIN(1,IF(4*c_d*c_bf/(c_d+c_bf)^2*J82/(b_fpu*p_N*p_B)&gt;=1,1,2*SQRT(4*c_d*c_bf/(c_d+c_bf)^2*J82/(b_fpu*p_N*p_B))/(1+SQRT(1-4*c_d*c_bf/(c_d+c_bf)^2*J82/(b_fpu*p_N*p_B))))),0)</f>
        <v>0</v>
      </c>
      <c r="K96" s="54" t="n">
        <f aca="false">IF(AND(K88=1,K84=0),MIN(1,IF(4*c_d*c_bf/(c_d+c_bf)^2*K82/(b_fpu*p_N*p_B)&gt;=1,1,2*SQRT(4*c_d*c_bf/(c_d+c_bf)^2*K82/(b_fpu*p_N*p_B))/(1+SQRT(1-4*c_d*c_bf/(c_d+c_bf)^2*K82/(b_fpu*p_N*p_B))))),0)</f>
        <v>0</v>
      </c>
      <c r="L96" s="54" t="n">
        <f aca="false">IF(AND(L88=1,L84=0),MIN(1,IF(4*c_d*c_bf/(c_d+c_bf)^2*L82/(b_fpu*p_N*p_B)&gt;=1,1,2*SQRT(4*c_d*c_bf/(c_d+c_bf)^2*L82/(b_fpu*p_N*p_B))/(1+SQRT(1-4*c_d*c_bf/(c_d+c_bf)^2*L82/(b_fpu*p_N*p_B))))),0)</f>
        <v>0</v>
      </c>
      <c r="M96" s="54" t="n">
        <f aca="false">IF(AND(M88=1,M84=0),MIN(1,IF(4*c_d*c_bf/(c_d+c_bf)^2*M82/(b_fpu*p_N*p_B)&gt;=1,1,2*SQRT(4*c_d*c_bf/(c_d+c_bf)^2*M82/(b_fpu*p_N*p_B))/(1+SQRT(1-4*c_d*c_bf/(c_d+c_bf)^2*M82/(b_fpu*p_N*p_B))))),0)</f>
        <v>0</v>
      </c>
    </row>
    <row r="97" customFormat="false" ht="15" hidden="false" customHeight="false" outlineLevel="0" collapsed="false">
      <c r="A97" s="44" t="s">
        <v>336</v>
      </c>
      <c r="B97" s="44" t="s">
        <v>337</v>
      </c>
      <c r="C97" s="44" t="s">
        <v>97</v>
      </c>
      <c r="D97" s="52" t="n">
        <f aca="false">MAX(cv_m,cv_n,D96*cv_np)</f>
        <v>12.9</v>
      </c>
      <c r="E97" s="52" t="n">
        <f aca="false">MAX(cv_m,cv_n,E96*cv_np)</f>
        <v>12.9</v>
      </c>
      <c r="F97" s="52" t="n">
        <f aca="false">MAX(cv_m,cv_n,F96*cv_np)</f>
        <v>12.9</v>
      </c>
      <c r="G97" s="52" t="n">
        <f aca="false">MAX(cv_m,cv_n,G96*cv_np)</f>
        <v>12.9</v>
      </c>
      <c r="H97" s="52" t="n">
        <f aca="false">MAX(cv_m,cv_n,H96*cv_np)</f>
        <v>12.9</v>
      </c>
      <c r="I97" s="52" t="n">
        <f aca="false">MAX(cv_m,cv_n,I96*cv_np)</f>
        <v>12.9</v>
      </c>
      <c r="J97" s="52" t="n">
        <f aca="false">MAX(cv_m,cv_n,J96*cv_np)</f>
        <v>12.9</v>
      </c>
      <c r="K97" s="52" t="n">
        <f aca="false">MAX(cv_m,cv_n,K96*cv_np)</f>
        <v>12.9</v>
      </c>
      <c r="L97" s="52" t="n">
        <f aca="false">MAX(cv_m,cv_n,L96*cv_np)</f>
        <v>12.9</v>
      </c>
      <c r="M97" s="52" t="n">
        <f aca="false">MAX(cv_m,cv_n,M96*cv_np)</f>
        <v>12.9</v>
      </c>
    </row>
    <row r="98" customFormat="false" ht="15" hidden="false" customHeight="false" outlineLevel="0" collapsed="false">
      <c r="A98" s="44" t="s">
        <v>338</v>
      </c>
      <c r="B98" s="44" t="s">
        <v>339</v>
      </c>
      <c r="C98" s="44" t="s">
        <v>35</v>
      </c>
      <c r="D98" s="53" t="n">
        <f aca="false">IF(D90&gt;=D97,D91*D97^2/2,D91*D90*(D97-D90/2))</f>
        <v>443.395065789474</v>
      </c>
      <c r="E98" s="53" t="n">
        <f aca="false">IF(E90&gt;=E97,E91*E97^2/2,E91*E90*(E97-E90/2))</f>
        <v>1361.53636363636</v>
      </c>
      <c r="F98" s="53" t="n">
        <f aca="false">IF(F90&gt;=F97,F91*F97^2/2,F91*F90*(F97-F90/2))</f>
        <v>5869.4812481393</v>
      </c>
      <c r="G98" s="53" t="n">
        <f aca="false">IF(G90&gt;=G97,G91*G97^2/2,G91*G90*(G97-G90/2))</f>
        <v>5165.45365893354</v>
      </c>
      <c r="H98" s="53" t="n">
        <f aca="false">IF(H90&gt;=H97,H91*H97^2/2,H91*H90*(H97-H90/2))</f>
        <v>940.749448153479</v>
      </c>
      <c r="I98" s="53" t="n">
        <f aca="false">IF(I90&gt;=I97,I91*I97^2/2,I91*I90*(I97-I90/2))</f>
        <v>0</v>
      </c>
      <c r="J98" s="53" t="n">
        <f aca="false">IF(J90&gt;=J97,J91*J97^2/2,J91*J90*(J97-J90/2))</f>
        <v>0</v>
      </c>
      <c r="K98" s="53" t="n">
        <f aca="false">IF(K90&gt;=K97,K91*K97^2/2,K91*K90*(K97-K90/2))</f>
        <v>0</v>
      </c>
      <c r="L98" s="53" t="n">
        <f aca="false">IF(L90&gt;=L97,L91*L97^2/2,L91*L90*(L97-L90/2))</f>
        <v>0</v>
      </c>
      <c r="M98" s="53" t="n">
        <f aca="false">IF(M90&gt;=M97,M91*M97^2/2,M91*M90*(M97-M90/2))</f>
        <v>0</v>
      </c>
    </row>
    <row r="99" customFormat="false" ht="15" hidden="false" customHeight="false" outlineLevel="0" collapsed="false">
      <c r="A99" s="44" t="s">
        <v>340</v>
      </c>
      <c r="B99" s="44" t="s">
        <v>341</v>
      </c>
      <c r="C99" s="44" t="s">
        <v>35</v>
      </c>
      <c r="D99" s="53" t="n">
        <f aca="false">D95*MAX(p_xt,0)/p_B</f>
        <v>0</v>
      </c>
      <c r="E99" s="53" t="n">
        <f aca="false">E95*MAX(p_xt,0)/p_B</f>
        <v>0</v>
      </c>
      <c r="F99" s="53" t="n">
        <f aca="false">F95*MAX(p_xt,0)/p_B</f>
        <v>2384.79673430265</v>
      </c>
      <c r="G99" s="53" t="n">
        <f aca="false">G95*MAX(p_xt,0)/p_B</f>
        <v>2807.49530147518</v>
      </c>
      <c r="H99" s="53" t="n">
        <f aca="false">H95*MAX(p_xt,0)/p_B</f>
        <v>1228.54641791054</v>
      </c>
      <c r="I99" s="53" t="n">
        <f aca="false">I95*MAX(p_xt,0)/p_B</f>
        <v>0</v>
      </c>
      <c r="J99" s="53" t="n">
        <f aca="false">J95*MAX(p_xt,0)/p_B</f>
        <v>0</v>
      </c>
      <c r="K99" s="53" t="n">
        <f aca="false">K95*MAX(p_xt,0)/p_B</f>
        <v>0</v>
      </c>
      <c r="L99" s="53" t="n">
        <f aca="false">L95*MAX(p_xt,0)/p_B</f>
        <v>0</v>
      </c>
      <c r="M99" s="53" t="n">
        <f aca="false">M95*MAX(p_xt,0)/p_B</f>
        <v>0</v>
      </c>
    </row>
    <row r="100" customFormat="false" ht="15" hidden="false" customHeight="false" outlineLevel="0" collapsed="false">
      <c r="A100" s="44" t="s">
        <v>326</v>
      </c>
      <c r="B100" s="44" t="s">
        <v>342</v>
      </c>
      <c r="C100" s="44" t="s">
        <v>196</v>
      </c>
      <c r="D100" s="54" t="n">
        <f aca="false">D98/p_phiMn</f>
        <v>0.0635845684227509</v>
      </c>
      <c r="E100" s="54" t="n">
        <f aca="false">E98/p_phiMn</f>
        <v>0.195249583843599</v>
      </c>
      <c r="F100" s="54" t="n">
        <f aca="false">F98/p_phiMn</f>
        <v>0.841706326532662</v>
      </c>
      <c r="G100" s="54" t="n">
        <f aca="false">G98/p_phiMn</f>
        <v>0.740746045574975</v>
      </c>
      <c r="H100" s="54" t="n">
        <f aca="false">H98/p_phiMn</f>
        <v>0.134907111670885</v>
      </c>
      <c r="I100" s="54" t="n">
        <f aca="false">I98/p_phiMn</f>
        <v>0</v>
      </c>
      <c r="J100" s="54" t="n">
        <f aca="false">J98/p_phiMn</f>
        <v>0</v>
      </c>
      <c r="K100" s="54" t="n">
        <f aca="false">K98/p_phiMn</f>
        <v>0</v>
      </c>
      <c r="L100" s="54" t="n">
        <f aca="false">L98/p_phiMn</f>
        <v>0</v>
      </c>
      <c r="M100" s="54" t="n">
        <f aca="false">M98/p_phiMn</f>
        <v>0</v>
      </c>
    </row>
    <row r="101" customFormat="false" ht="15" hidden="false" customHeight="false" outlineLevel="0" collapsed="false">
      <c r="A101" s="44" t="s">
        <v>326</v>
      </c>
      <c r="B101" s="44" t="s">
        <v>343</v>
      </c>
      <c r="C101" s="44" t="s">
        <v>196</v>
      </c>
      <c r="D101" s="54" t="n">
        <f aca="false">D99/p_phiMn</f>
        <v>0</v>
      </c>
      <c r="E101" s="54" t="n">
        <f aca="false">E99/p_phiMn</f>
        <v>0</v>
      </c>
      <c r="F101" s="54" t="n">
        <f aca="false">F99/p_phiMn</f>
        <v>0.341989081129328</v>
      </c>
      <c r="G101" s="54" t="n">
        <f aca="false">G99/p_phiMn</f>
        <v>0.402605691552642</v>
      </c>
      <c r="H101" s="54" t="n">
        <f aca="false">H99/p_phiMn</f>
        <v>0.176178310940538</v>
      </c>
      <c r="I101" s="54" t="n">
        <f aca="false">I99/p_phiMn</f>
        <v>0</v>
      </c>
      <c r="J101" s="54" t="n">
        <f aca="false">J99/p_phiMn</f>
        <v>0</v>
      </c>
      <c r="K101" s="54" t="n">
        <f aca="false">K99/p_phiMn</f>
        <v>0</v>
      </c>
      <c r="L101" s="54" t="n">
        <f aca="false">L99/p_phiMn</f>
        <v>0</v>
      </c>
      <c r="M101" s="54" t="n">
        <f aca="false">M99/p_phiMn</f>
        <v>0</v>
      </c>
    </row>
    <row r="102" customFormat="false" ht="15" hidden="false" customHeight="false" outlineLevel="0" collapsed="false">
      <c r="A102" s="44" t="s">
        <v>344</v>
      </c>
      <c r="B102" s="44" t="s">
        <v>345</v>
      </c>
      <c r="C102" s="44" t="s">
        <v>29</v>
      </c>
      <c r="D102" s="53" t="n">
        <f aca="false">SQRT(4*MAX(D98,D99)/(0.9*pl_Fy))*10</f>
        <v>8.82559325585934</v>
      </c>
      <c r="E102" s="53" t="n">
        <f aca="false">SQRT(4*MAX(E98,E99)/(0.9*pl_Fy))*10</f>
        <v>15.4654692851012</v>
      </c>
      <c r="F102" s="53" t="n">
        <f aca="false">SQRT(4*MAX(F98,F99)/(0.9*pl_Fy))*10</f>
        <v>32.1105940462414</v>
      </c>
      <c r="G102" s="53" t="n">
        <f aca="false">SQRT(4*MAX(G98,G99)/(0.9*pl_Fy))*10</f>
        <v>30.1233116676992</v>
      </c>
      <c r="H102" s="53" t="n">
        <f aca="false">SQRT(4*MAX(H98,H99)/(0.9*pl_Fy))*10</f>
        <v>14.6907600518884</v>
      </c>
      <c r="I102" s="53" t="n">
        <f aca="false">SQRT(4*MAX(I98,I99)/(0.9*pl_Fy))*10</f>
        <v>0</v>
      </c>
      <c r="J102" s="53" t="n">
        <f aca="false">SQRT(4*MAX(J98,J99)/(0.9*pl_Fy))*10</f>
        <v>0</v>
      </c>
      <c r="K102" s="53" t="n">
        <f aca="false">SQRT(4*MAX(K98,K99)/(0.9*pl_Fy))*10</f>
        <v>0</v>
      </c>
      <c r="L102" s="53" t="n">
        <f aca="false">SQRT(4*MAX(L98,L99)/(0.9*pl_Fy))*10</f>
        <v>0</v>
      </c>
      <c r="M102" s="53" t="n">
        <f aca="false">SQRT(4*MAX(M98,M99)/(0.9*pl_Fy))*10</f>
        <v>0</v>
      </c>
    </row>
    <row r="103" customFormat="false" ht="15" hidden="false" customHeight="false" outlineLevel="0" collapsed="false">
      <c r="A103" s="44" t="s">
        <v>346</v>
      </c>
      <c r="B103" s="44" t="s">
        <v>347</v>
      </c>
      <c r="C103" s="44" t="s">
        <v>235</v>
      </c>
      <c r="D103" s="51" t="n">
        <f aca="false">D95/a_nf*omega0</f>
        <v>0</v>
      </c>
      <c r="E103" s="51" t="n">
        <f aca="false">E95/a_nf*omega0</f>
        <v>0</v>
      </c>
      <c r="F103" s="51" t="n">
        <f aca="false">F95/a_nf*omega0</f>
        <v>6275.78087974383</v>
      </c>
      <c r="G103" s="51" t="n">
        <f aca="false">G95/a_nf*omega0</f>
        <v>7388.14553019785</v>
      </c>
      <c r="H103" s="51" t="n">
        <f aca="false">H95/a_nf*omega0</f>
        <v>3233.01688923826</v>
      </c>
      <c r="I103" s="51" t="n">
        <f aca="false">I95/a_nf*omega0</f>
        <v>0</v>
      </c>
      <c r="J103" s="51" t="n">
        <f aca="false">J95/a_nf*omega0</f>
        <v>0</v>
      </c>
      <c r="K103" s="51" t="n">
        <f aca="false">K95/a_nf*omega0</f>
        <v>0</v>
      </c>
      <c r="L103" s="51" t="n">
        <f aca="false">L95/a_nf*omega0</f>
        <v>0</v>
      </c>
      <c r="M103" s="51" t="n">
        <f aca="false">M95/a_nf*omega0</f>
        <v>0</v>
      </c>
    </row>
    <row r="104" customFormat="false" ht="15" hidden="false" customHeight="false" outlineLevel="0" collapsed="false">
      <c r="A104" s="44" t="s">
        <v>348</v>
      </c>
      <c r="B104" s="44" t="s">
        <v>349</v>
      </c>
      <c r="C104" s="44" t="s">
        <v>235</v>
      </c>
      <c r="D104" s="51" t="n">
        <f aca="false">D95*omega0</f>
        <v>0</v>
      </c>
      <c r="E104" s="51" t="n">
        <f aca="false">E95*omega0</f>
        <v>0</v>
      </c>
      <c r="F104" s="51" t="n">
        <f aca="false">F95*omega0</f>
        <v>12551.5617594877</v>
      </c>
      <c r="G104" s="51" t="n">
        <f aca="false">G95*omega0</f>
        <v>14776.2910603957</v>
      </c>
      <c r="H104" s="51" t="n">
        <f aca="false">H95*omega0</f>
        <v>6466.03377847652</v>
      </c>
      <c r="I104" s="51" t="n">
        <f aca="false">I95*omega0</f>
        <v>0</v>
      </c>
      <c r="J104" s="51" t="n">
        <f aca="false">J95*omega0</f>
        <v>0</v>
      </c>
      <c r="K104" s="51" t="n">
        <f aca="false">K95*omega0</f>
        <v>0</v>
      </c>
      <c r="L104" s="51" t="n">
        <f aca="false">L95*omega0</f>
        <v>0</v>
      </c>
      <c r="M104" s="51" t="n">
        <f aca="false">M95*omega0</f>
        <v>0</v>
      </c>
    </row>
    <row r="105" customFormat="false" ht="15" hidden="false" customHeight="false" outlineLevel="0" collapsed="false">
      <c r="A105" s="44" t="s">
        <v>326</v>
      </c>
      <c r="B105" s="44" t="s">
        <v>350</v>
      </c>
      <c r="C105" s="44" t="s">
        <v>196</v>
      </c>
      <c r="D105" s="54" t="n">
        <f aca="false">D103/s_phiNsa</f>
        <v>0</v>
      </c>
      <c r="E105" s="54" t="n">
        <f aca="false">E103/s_phiNsa</f>
        <v>0</v>
      </c>
      <c r="F105" s="54" t="n">
        <f aca="false">F103/s_phiNsa</f>
        <v>0.406292059154948</v>
      </c>
      <c r="G105" s="54" t="n">
        <f aca="false">G103/s_phiNsa</f>
        <v>0.478306193017217</v>
      </c>
      <c r="H105" s="54" t="n">
        <f aca="false">H103/s_phiNsa</f>
        <v>0.209304485669831</v>
      </c>
      <c r="I105" s="54" t="n">
        <f aca="false">I103/s_phiNsa</f>
        <v>0</v>
      </c>
      <c r="J105" s="54" t="n">
        <f aca="false">J103/s_phiNsa</f>
        <v>0</v>
      </c>
      <c r="K105" s="54" t="n">
        <f aca="false">K103/s_phiNsa</f>
        <v>0</v>
      </c>
      <c r="L105" s="54" t="n">
        <f aca="false">L103/s_phiNsa</f>
        <v>0</v>
      </c>
      <c r="M105" s="54" t="n">
        <f aca="false">M103/s_phiNsa</f>
        <v>0</v>
      </c>
    </row>
    <row r="106" customFormat="false" ht="15" hidden="false" customHeight="false" outlineLevel="0" collapsed="false">
      <c r="A106" s="44" t="s">
        <v>351</v>
      </c>
      <c r="B106" s="44" t="s">
        <v>352</v>
      </c>
      <c r="C106" s="44" t="s">
        <v>196</v>
      </c>
      <c r="D106" s="54" t="n">
        <f aca="false">IF(D88=3,1/(1+D84/MAX(-D82,1)/(1.5*g_h)),1)</f>
        <v>1</v>
      </c>
      <c r="E106" s="54" t="n">
        <f aca="false">IF(E88=3,1/(1+E84/MAX(-E82,1)/(1.5*g_h)),1)</f>
        <v>1</v>
      </c>
      <c r="F106" s="54" t="n">
        <f aca="false">IF(F88=3,1/(1+F84/MAX(-F82,1)/(1.5*g_h)),1)</f>
        <v>1</v>
      </c>
      <c r="G106" s="54" t="n">
        <f aca="false">IF(G88=3,1/(1+G84/MAX(-G82,1)/(1.5*g_h)),1)</f>
        <v>1</v>
      </c>
      <c r="H106" s="54" t="n">
        <f aca="false">IF(H88=3,1/(1+H84/MAX(-H82,1)/(1.5*g_h)),1)</f>
        <v>1</v>
      </c>
      <c r="I106" s="54" t="n">
        <f aca="false">IF(I88=3,1/(1+I84/MAX(-I82,1)/(1.5*g_h)),1)</f>
        <v>1</v>
      </c>
      <c r="J106" s="54" t="n">
        <f aca="false">IF(J88=3,1/(1+J84/MAX(-J82,1)/(1.5*g_h)),1)</f>
        <v>1</v>
      </c>
      <c r="K106" s="54" t="n">
        <f aca="false">IF(K88=3,1/(1+K84/MAX(-K82,1)/(1.5*g_h)),1)</f>
        <v>1</v>
      </c>
      <c r="L106" s="54" t="n">
        <f aca="false">IF(L88=3,1/(1+L84/MAX(-L82,1)/(1.5*g_h)),1)</f>
        <v>1</v>
      </c>
      <c r="M106" s="54" t="n">
        <f aca="false">IF(M88=3,1/(1+M84/MAX(-M82,1)/(1.5*g_h)),1)</f>
        <v>1</v>
      </c>
    </row>
    <row r="107" customFormat="false" ht="15" hidden="false" customHeight="false" outlineLevel="0" collapsed="false">
      <c r="A107" s="44" t="s">
        <v>326</v>
      </c>
      <c r="B107" s="44" t="s">
        <v>353</v>
      </c>
      <c r="C107" s="44" t="s">
        <v>196</v>
      </c>
      <c r="D107" s="54" t="n">
        <f aca="false">D104/t_phiNcb</f>
        <v>0</v>
      </c>
      <c r="E107" s="54" t="n">
        <f aca="false">E104/t_phiNcb</f>
        <v>0</v>
      </c>
      <c r="F107" s="54" t="n">
        <f aca="false">F104/t_phiNcb</f>
        <v>1.76787409612551</v>
      </c>
      <c r="G107" s="54" t="n">
        <f aca="false">G104/t_phiNcb</f>
        <v>2.08122484699871</v>
      </c>
      <c r="H107" s="54" t="n">
        <f aca="false">H104/t_phiNcb</f>
        <v>0.91073396607402</v>
      </c>
      <c r="I107" s="54" t="n">
        <f aca="false">I104/t_phiNcb</f>
        <v>0</v>
      </c>
      <c r="J107" s="54" t="n">
        <f aca="false">J104/t_phiNcb</f>
        <v>0</v>
      </c>
      <c r="K107" s="54" t="n">
        <f aca="false">K104/t_phiNcb</f>
        <v>0</v>
      </c>
      <c r="L107" s="54" t="n">
        <f aca="false">L104/t_phiNcb</f>
        <v>0</v>
      </c>
      <c r="M107" s="54" t="n">
        <f aca="false">M104/t_phiNcb</f>
        <v>0</v>
      </c>
    </row>
    <row r="108" customFormat="false" ht="15" hidden="false" customHeight="false" outlineLevel="0" collapsed="false">
      <c r="A108" s="44" t="s">
        <v>326</v>
      </c>
      <c r="B108" s="44" t="s">
        <v>354</v>
      </c>
      <c r="C108" s="44" t="s">
        <v>196</v>
      </c>
      <c r="D108" s="54" t="n">
        <f aca="false">IF(D88=3,-D82*omega0/(0.7*k_sis*D106*g_Ncb0),0)</f>
        <v>0</v>
      </c>
      <c r="E108" s="54" t="n">
        <f aca="false">IF(E88=3,-E82*omega0/(0.7*k_sis*E106*g_Ncb0),0)</f>
        <v>0</v>
      </c>
      <c r="F108" s="54" t="n">
        <f aca="false">IF(F88=3,-F82*omega0/(0.7*k_sis*F106*g_Ncb0),0)</f>
        <v>0</v>
      </c>
      <c r="G108" s="54" t="n">
        <f aca="false">IF(G88=3,-G82*omega0/(0.7*k_sis*G106*g_Ncb0),0)</f>
        <v>0</v>
      </c>
      <c r="H108" s="54" t="n">
        <f aca="false">IF(H88=3,-H82*omega0/(0.7*k_sis*H106*g_Ncb0),0)</f>
        <v>0</v>
      </c>
      <c r="I108" s="54" t="n">
        <f aca="false">IF(I88=3,-I82*omega0/(0.7*k_sis*I106*g_Ncb0),0)</f>
        <v>0</v>
      </c>
      <c r="J108" s="54" t="n">
        <f aca="false">IF(J88=3,-J82*omega0/(0.7*k_sis*J106*g_Ncb0),0)</f>
        <v>0</v>
      </c>
      <c r="K108" s="54" t="n">
        <f aca="false">IF(K88=3,-K82*omega0/(0.7*k_sis*K106*g_Ncb0),0)</f>
        <v>0</v>
      </c>
      <c r="L108" s="54" t="n">
        <f aca="false">IF(L88=3,-L82*omega0/(0.7*k_sis*L106*g_Ncb0),0)</f>
        <v>0</v>
      </c>
      <c r="M108" s="54" t="n">
        <f aca="false">IF(M88=3,-M82*omega0/(0.7*k_sis*M106*g_Ncb0),0)</f>
        <v>0</v>
      </c>
    </row>
    <row r="109" customFormat="false" ht="15" hidden="false" customHeight="false" outlineLevel="0" collapsed="false">
      <c r="A109" s="44" t="s">
        <v>326</v>
      </c>
      <c r="B109" s="44" t="s">
        <v>355</v>
      </c>
      <c r="C109" s="44" t="s">
        <v>196</v>
      </c>
      <c r="D109" s="54" t="n">
        <f aca="false">IF(hp_usar="Sí",D104/hp_phiN,MAX(D107,D108))</f>
        <v>0</v>
      </c>
      <c r="E109" s="54" t="n">
        <f aca="false">IF(hp_usar="Sí",E104/hp_phiN,MAX(E107,E108))</f>
        <v>0</v>
      </c>
      <c r="F109" s="54" t="n">
        <f aca="false">IF(hp_usar="Sí",F104/hp_phiN,MAX(F107,F108))</f>
        <v>0.495353403877391</v>
      </c>
      <c r="G109" s="54" t="n">
        <f aca="false">IF(hp_usar="Sí",G104/hp_phiN,MAX(G107,G108))</f>
        <v>0.583153412595633</v>
      </c>
      <c r="H109" s="54" t="n">
        <f aca="false">IF(hp_usar="Sí",H104/hp_phiN,MAX(H107,H108))</f>
        <v>0.255185123822015</v>
      </c>
      <c r="I109" s="54" t="n">
        <f aca="false">IF(hp_usar="Sí",I104/hp_phiN,MAX(I107,I108))</f>
        <v>0</v>
      </c>
      <c r="J109" s="54" t="n">
        <f aca="false">IF(hp_usar="Sí",J104/hp_phiN,MAX(J107,J108))</f>
        <v>0</v>
      </c>
      <c r="K109" s="54" t="n">
        <f aca="false">IF(hp_usar="Sí",K104/hp_phiN,MAX(K107,K108))</f>
        <v>0</v>
      </c>
      <c r="L109" s="54" t="n">
        <f aca="false">IF(hp_usar="Sí",L104/hp_phiN,MAX(L107,L108))</f>
        <v>0</v>
      </c>
      <c r="M109" s="54" t="n">
        <f aca="false">IF(hp_usar="Sí",M104/hp_phiN,MAX(M107,M108))</f>
        <v>0</v>
      </c>
    </row>
    <row r="110" customFormat="false" ht="15" hidden="false" customHeight="false" outlineLevel="0" collapsed="false">
      <c r="A110" s="44" t="s">
        <v>328</v>
      </c>
      <c r="B110" s="44" t="s">
        <v>356</v>
      </c>
      <c r="C110" s="44" t="s">
        <v>44</v>
      </c>
      <c r="D110" s="52" t="n">
        <f aca="false">IF(OR(hp_usar="Sí",D107&gt;=D108),D104,-D82*omega0)/1000</f>
        <v>0</v>
      </c>
      <c r="E110" s="52" t="n">
        <f aca="false">IF(OR(hp_usar="Sí",E107&gt;=E108),E104,-E82*omega0)/1000</f>
        <v>0</v>
      </c>
      <c r="F110" s="52" t="n">
        <f aca="false">IF(OR(hp_usar="Sí",F107&gt;=F108),F104,-F82*omega0)/1000</f>
        <v>12.5515617594877</v>
      </c>
      <c r="G110" s="52" t="n">
        <f aca="false">IF(OR(hp_usar="Sí",G107&gt;=G108),G104,-G82*omega0)/1000</f>
        <v>14.7762910603957</v>
      </c>
      <c r="H110" s="52" t="n">
        <f aca="false">IF(OR(hp_usar="Sí",H107&gt;=H108),H104,-H82*omega0)/1000</f>
        <v>6.46603377847652</v>
      </c>
      <c r="I110" s="52" t="n">
        <f aca="false">IF(OR(hp_usar="Sí",I107&gt;=I108),I104,-I82*omega0)/1000</f>
        <v>0</v>
      </c>
      <c r="J110" s="52" t="n">
        <f aca="false">IF(OR(hp_usar="Sí",J107&gt;=J108),J104,-J82*omega0)/1000</f>
        <v>0</v>
      </c>
      <c r="K110" s="52" t="n">
        <f aca="false">IF(OR(hp_usar="Sí",K107&gt;=K108),K104,-K82*omega0)/1000</f>
        <v>0</v>
      </c>
      <c r="L110" s="52" t="n">
        <f aca="false">IF(OR(hp_usar="Sí",L107&gt;=L108),L104,-L82*omega0)/1000</f>
        <v>0</v>
      </c>
      <c r="M110" s="52" t="n">
        <f aca="false">IF(OR(hp_usar="Sí",M107&gt;=M108),M104,-M82*omega0)/1000</f>
        <v>0</v>
      </c>
    </row>
    <row r="111" customFormat="false" ht="15" hidden="false" customHeight="false" outlineLevel="0" collapsed="false">
      <c r="A111" s="44" t="s">
        <v>330</v>
      </c>
      <c r="B111" s="44" t="s">
        <v>357</v>
      </c>
      <c r="C111" s="44" t="s">
        <v>44</v>
      </c>
      <c r="D111" s="52" t="n">
        <f aca="false">IF(hp_usar="Sí",hp_phiN,IF(D107&gt;=D108,t_phiNcb,0.7*k_sis*D106*g_Ncb0))/1000</f>
        <v>25.3386</v>
      </c>
      <c r="E111" s="52" t="n">
        <f aca="false">IF(hp_usar="Sí",hp_phiN,IF(E107&gt;=E108,t_phiNcb,0.7*k_sis*E106*g_Ncb0))/1000</f>
        <v>25.3386</v>
      </c>
      <c r="F111" s="52" t="n">
        <f aca="false">IF(hp_usar="Sí",hp_phiN,IF(F107&gt;=F108,t_phiNcb,0.7*k_sis*F106*g_Ncb0))/1000</f>
        <v>25.3386</v>
      </c>
      <c r="G111" s="52" t="n">
        <f aca="false">IF(hp_usar="Sí",hp_phiN,IF(G107&gt;=G108,t_phiNcb,0.7*k_sis*G106*g_Ncb0))/1000</f>
        <v>25.3386</v>
      </c>
      <c r="H111" s="52" t="n">
        <f aca="false">IF(hp_usar="Sí",hp_phiN,IF(H107&gt;=H108,t_phiNcb,0.7*k_sis*H106*g_Ncb0))/1000</f>
        <v>25.3386</v>
      </c>
      <c r="I111" s="52" t="n">
        <f aca="false">IF(hp_usar="Sí",hp_phiN,IF(I107&gt;=I108,t_phiNcb,0.7*k_sis*I106*g_Ncb0))/1000</f>
        <v>25.3386</v>
      </c>
      <c r="J111" s="52" t="n">
        <f aca="false">IF(hp_usar="Sí",hp_phiN,IF(J107&gt;=J108,t_phiNcb,0.7*k_sis*J106*g_Ncb0))/1000</f>
        <v>25.3386</v>
      </c>
      <c r="K111" s="52" t="n">
        <f aca="false">IF(hp_usar="Sí",hp_phiN,IF(K107&gt;=K108,t_phiNcb,0.7*k_sis*K106*g_Ncb0))/1000</f>
        <v>25.3386</v>
      </c>
      <c r="L111" s="52" t="n">
        <f aca="false">IF(hp_usar="Sí",hp_phiN,IF(L107&gt;=L108,t_phiNcb,0.7*k_sis*L106*g_Ncb0))/1000</f>
        <v>25.3386</v>
      </c>
      <c r="M111" s="52" t="n">
        <f aca="false">IF(hp_usar="Sí",hp_phiN,IF(M107&gt;=M108,t_phiNcb,0.7*k_sis*M106*g_Ncb0))/1000</f>
        <v>25.3386</v>
      </c>
    </row>
    <row r="112" customFormat="false" ht="15" hidden="false" customHeight="false" outlineLevel="0" collapsed="false">
      <c r="A112" s="44" t="s">
        <v>326</v>
      </c>
      <c r="B112" s="44" t="s">
        <v>358</v>
      </c>
      <c r="C112" s="44" t="s">
        <v>196</v>
      </c>
      <c r="D112" s="54" t="n">
        <f aca="false">D103/po_phiNp</f>
        <v>0</v>
      </c>
      <c r="E112" s="54" t="n">
        <f aca="false">E103/po_phiNp</f>
        <v>0</v>
      </c>
      <c r="F112" s="54" t="n">
        <f aca="false">F103/po_phiNp</f>
        <v>0.189535798989305</v>
      </c>
      <c r="G112" s="54" t="n">
        <f aca="false">G103/po_phiNp</f>
        <v>0.223130490523512</v>
      </c>
      <c r="H112" s="54" t="n">
        <f aca="false">H103/po_phiNp</f>
        <v>0.0976408276499139</v>
      </c>
      <c r="I112" s="54" t="n">
        <f aca="false">I103/po_phiNp</f>
        <v>0</v>
      </c>
      <c r="J112" s="54" t="n">
        <f aca="false">J103/po_phiNp</f>
        <v>0</v>
      </c>
      <c r="K112" s="54" t="n">
        <f aca="false">K103/po_phiNp</f>
        <v>0</v>
      </c>
      <c r="L112" s="54" t="n">
        <f aca="false">L103/po_phiNp</f>
        <v>0</v>
      </c>
      <c r="M112" s="54" t="n">
        <f aca="false">M103/po_phiNp</f>
        <v>0</v>
      </c>
    </row>
    <row r="113" customFormat="false" ht="15" hidden="false" customHeight="false" outlineLevel="0" collapsed="false">
      <c r="A113" s="44" t="s">
        <v>326</v>
      </c>
      <c r="B113" s="44" t="s">
        <v>359</v>
      </c>
      <c r="C113" s="44" t="s">
        <v>196</v>
      </c>
      <c r="D113" s="54" t="n">
        <f aca="false">IF(sf_apF=1,D104/sf_F,0)</f>
        <v>0</v>
      </c>
      <c r="E113" s="54" t="n">
        <f aca="false">IF(sf_apF=1,E104/sf_F,0)</f>
        <v>0</v>
      </c>
      <c r="F113" s="54" t="n">
        <f aca="false">IF(sf_apF=1,F104/sf_F,0)</f>
        <v>0</v>
      </c>
      <c r="G113" s="54" t="n">
        <f aca="false">IF(sf_apF=1,G104/sf_F,0)</f>
        <v>0</v>
      </c>
      <c r="H113" s="54" t="n">
        <f aca="false">IF(sf_apF=1,H104/sf_F,0)</f>
        <v>0</v>
      </c>
      <c r="I113" s="54" t="n">
        <f aca="false">IF(sf_apF=1,I104/sf_F,0)</f>
        <v>0</v>
      </c>
      <c r="J113" s="54" t="n">
        <f aca="false">IF(sf_apF=1,J104/sf_F,0)</f>
        <v>0</v>
      </c>
      <c r="K113" s="54" t="n">
        <f aca="false">IF(sf_apF=1,K104/sf_F,0)</f>
        <v>0</v>
      </c>
      <c r="L113" s="54" t="n">
        <f aca="false">IF(sf_apF=1,L104/sf_F,0)</f>
        <v>0</v>
      </c>
      <c r="M113" s="54" t="n">
        <f aca="false">IF(sf_apF=1,M104/sf_F,0)</f>
        <v>0</v>
      </c>
    </row>
    <row r="114" customFormat="false" ht="15" hidden="false" customHeight="false" outlineLevel="0" collapsed="false">
      <c r="A114" s="44" t="s">
        <v>326</v>
      </c>
      <c r="B114" s="44" t="s">
        <v>360</v>
      </c>
      <c r="C114" s="44" t="s">
        <v>196</v>
      </c>
      <c r="D114" s="54" t="n">
        <f aca="false">IF(sf_apS=1,D103/sf_S,0)</f>
        <v>0</v>
      </c>
      <c r="E114" s="54" t="n">
        <f aca="false">IF(sf_apS=1,E103/sf_S,0)</f>
        <v>0</v>
      </c>
      <c r="F114" s="54" t="n">
        <f aca="false">IF(sf_apS=1,F103/sf_S,0)</f>
        <v>0</v>
      </c>
      <c r="G114" s="54" t="n">
        <f aca="false">IF(sf_apS=1,G103/sf_S,0)</f>
        <v>0</v>
      </c>
      <c r="H114" s="54" t="n">
        <f aca="false">IF(sf_apS=1,H103/sf_S,0)</f>
        <v>0</v>
      </c>
      <c r="I114" s="54" t="n">
        <f aca="false">IF(sf_apS=1,I103/sf_S,0)</f>
        <v>0</v>
      </c>
      <c r="J114" s="54" t="n">
        <f aca="false">IF(sf_apS=1,J103/sf_S,0)</f>
        <v>0</v>
      </c>
      <c r="K114" s="54" t="n">
        <f aca="false">IF(sf_apS=1,K103/sf_S,0)</f>
        <v>0</v>
      </c>
      <c r="L114" s="54" t="n">
        <f aca="false">IF(sf_apS=1,L103/sf_S,0)</f>
        <v>0</v>
      </c>
      <c r="M114" s="54" t="n">
        <f aca="false">IF(sf_apS=1,M103/sf_S,0)</f>
        <v>0</v>
      </c>
    </row>
    <row r="115" customFormat="false" ht="15" hidden="false" customHeight="false" outlineLevel="0" collapsed="false">
      <c r="A115" s="44" t="s">
        <v>326</v>
      </c>
      <c r="B115" s="44" t="s">
        <v>361</v>
      </c>
      <c r="C115" s="44" t="s">
        <v>196</v>
      </c>
      <c r="D115" s="54" t="n">
        <f aca="false">MAX(D113,D114)</f>
        <v>0</v>
      </c>
      <c r="E115" s="54" t="n">
        <f aca="false">MAX(E113,E114)</f>
        <v>0</v>
      </c>
      <c r="F115" s="54" t="n">
        <f aca="false">MAX(F113,F114)</f>
        <v>0</v>
      </c>
      <c r="G115" s="54" t="n">
        <f aca="false">MAX(G113,G114)</f>
        <v>0</v>
      </c>
      <c r="H115" s="54" t="n">
        <f aca="false">MAX(H113,H114)</f>
        <v>0</v>
      </c>
      <c r="I115" s="54" t="n">
        <f aca="false">MAX(I113,I114)</f>
        <v>0</v>
      </c>
      <c r="J115" s="54" t="n">
        <f aca="false">MAX(J113,J114)</f>
        <v>0</v>
      </c>
      <c r="K115" s="54" t="n">
        <f aca="false">MAX(K113,K114)</f>
        <v>0</v>
      </c>
      <c r="L115" s="54" t="n">
        <f aca="false">MAX(L113,L114)</f>
        <v>0</v>
      </c>
      <c r="M115" s="54" t="n">
        <f aca="false">MAX(M113,M114)</f>
        <v>0</v>
      </c>
    </row>
    <row r="116" customFormat="false" ht="15" hidden="false" customHeight="false" outlineLevel="0" collapsed="false">
      <c r="A116" s="44" t="s">
        <v>328</v>
      </c>
      <c r="B116" s="44" t="s">
        <v>362</v>
      </c>
      <c r="C116" s="44" t="s">
        <v>44</v>
      </c>
      <c r="D116" s="52" t="n">
        <f aca="false">IF(D113&gt;=D114,D104,D103)/1000</f>
        <v>0</v>
      </c>
      <c r="E116" s="52" t="n">
        <f aca="false">IF(E113&gt;=E114,E104,E103)/1000</f>
        <v>0</v>
      </c>
      <c r="F116" s="52" t="n">
        <f aca="false">IF(F113&gt;=F114,F104,F103)/1000</f>
        <v>12.5515617594877</v>
      </c>
      <c r="G116" s="52" t="n">
        <f aca="false">IF(G113&gt;=G114,G104,G103)/1000</f>
        <v>14.7762910603957</v>
      </c>
      <c r="H116" s="52" t="n">
        <f aca="false">IF(H113&gt;=H114,H104,H103)/1000</f>
        <v>6.46603377847652</v>
      </c>
      <c r="I116" s="52" t="n">
        <f aca="false">IF(I113&gt;=I114,I104,I103)/1000</f>
        <v>0</v>
      </c>
      <c r="J116" s="52" t="n">
        <f aca="false">IF(J113&gt;=J114,J104,J103)/1000</f>
        <v>0</v>
      </c>
      <c r="K116" s="52" t="n">
        <f aca="false">IF(K113&gt;=K114,K104,K103)/1000</f>
        <v>0</v>
      </c>
      <c r="L116" s="52" t="n">
        <f aca="false">IF(L113&gt;=L114,L104,L103)/1000</f>
        <v>0</v>
      </c>
      <c r="M116" s="52" t="n">
        <f aca="false">IF(M113&gt;=M114,M104,M103)/1000</f>
        <v>0</v>
      </c>
    </row>
    <row r="117" customFormat="false" ht="15" hidden="false" customHeight="false" outlineLevel="0" collapsed="false">
      <c r="A117" s="44" t="s">
        <v>330</v>
      </c>
      <c r="B117" s="44" t="s">
        <v>363</v>
      </c>
      <c r="C117" s="44" t="s">
        <v>44</v>
      </c>
      <c r="D117" s="52" t="n">
        <f aca="false">IF(D113&gt;=D114,sf_F,sf_S)/1000</f>
        <v>49.4402944301141</v>
      </c>
      <c r="E117" s="52" t="n">
        <f aca="false">IF(E113&gt;=E114,sf_F,sf_S)/1000</f>
        <v>49.4402944301141</v>
      </c>
      <c r="F117" s="52" t="n">
        <f aca="false">IF(F113&gt;=F114,sf_F,sf_S)/1000</f>
        <v>49.4402944301141</v>
      </c>
      <c r="G117" s="52" t="n">
        <f aca="false">IF(G113&gt;=G114,sf_F,sf_S)/1000</f>
        <v>49.4402944301141</v>
      </c>
      <c r="H117" s="52" t="n">
        <f aca="false">IF(H113&gt;=H114,sf_F,sf_S)/1000</f>
        <v>49.4402944301141</v>
      </c>
      <c r="I117" s="52" t="n">
        <f aca="false">IF(I113&gt;=I114,sf_F,sf_S)/1000</f>
        <v>49.4402944301141</v>
      </c>
      <c r="J117" s="52" t="n">
        <f aca="false">IF(J113&gt;=J114,sf_F,sf_S)/1000</f>
        <v>49.4402944301141</v>
      </c>
      <c r="K117" s="52" t="n">
        <f aca="false">IF(K113&gt;=K114,sf_F,sf_S)/1000</f>
        <v>49.4402944301141</v>
      </c>
      <c r="L117" s="52" t="n">
        <f aca="false">IF(L113&gt;=L114,sf_F,sf_S)/1000</f>
        <v>49.4402944301141</v>
      </c>
      <c r="M117" s="52" t="n">
        <f aca="false">IF(M113&gt;=M114,sf_F,sf_S)/1000</f>
        <v>49.4402944301141</v>
      </c>
    </row>
    <row r="118" customFormat="false" ht="15" hidden="false" customHeight="false" outlineLevel="0" collapsed="false">
      <c r="A118" s="44" t="s">
        <v>364</v>
      </c>
      <c r="B118" s="44" t="s">
        <v>365</v>
      </c>
      <c r="C118" s="44" t="s">
        <v>235</v>
      </c>
      <c r="D118" s="51" t="n">
        <f aca="false">D83*omega0</f>
        <v>600</v>
      </c>
      <c r="E118" s="51" t="n">
        <f aca="false">E83*omega0</f>
        <v>1200</v>
      </c>
      <c r="F118" s="51" t="n">
        <f aca="false">F83*omega0</f>
        <v>3500</v>
      </c>
      <c r="G118" s="51" t="n">
        <f aca="false">G83*omega0</f>
        <v>3500</v>
      </c>
      <c r="H118" s="51" t="n">
        <f aca="false">H83*omega0</f>
        <v>2000</v>
      </c>
      <c r="I118" s="51" t="n">
        <f aca="false">I83*omega0</f>
        <v>0</v>
      </c>
      <c r="J118" s="51" t="n">
        <f aca="false">J83*omega0</f>
        <v>0</v>
      </c>
      <c r="K118" s="51" t="n">
        <f aca="false">K83*omega0</f>
        <v>0</v>
      </c>
      <c r="L118" s="51" t="n">
        <f aca="false">L83*omega0</f>
        <v>0</v>
      </c>
      <c r="M118" s="51" t="n">
        <f aca="false">M83*omega0</f>
        <v>0</v>
      </c>
    </row>
    <row r="119" customFormat="false" ht="15" hidden="false" customHeight="false" outlineLevel="0" collapsed="false">
      <c r="A119" s="44" t="s">
        <v>326</v>
      </c>
      <c r="B119" s="44" t="s">
        <v>366</v>
      </c>
      <c r="C119" s="44" t="s">
        <v>196</v>
      </c>
      <c r="D119" s="54" t="n">
        <f aca="false">D118/pb_nv/s_phiVsa</f>
        <v>0.0233436353766798</v>
      </c>
      <c r="E119" s="54" t="n">
        <f aca="false">E118/pb_nv/s_phiVsa</f>
        <v>0.0466872707533595</v>
      </c>
      <c r="F119" s="54" t="n">
        <f aca="false">F118/pb_nv/s_phiVsa</f>
        <v>0.136171206363965</v>
      </c>
      <c r="G119" s="54" t="n">
        <f aca="false">G118/pb_nv/s_phiVsa</f>
        <v>0.136171206363965</v>
      </c>
      <c r="H119" s="54" t="n">
        <f aca="false">H118/pb_nv/s_phiVsa</f>
        <v>0.0778121179222659</v>
      </c>
      <c r="I119" s="54" t="n">
        <f aca="false">I118/pb_nv/s_phiVsa</f>
        <v>0</v>
      </c>
      <c r="J119" s="54" t="n">
        <f aca="false">J118/pb_nv/s_phiVsa</f>
        <v>0</v>
      </c>
      <c r="K119" s="54" t="n">
        <f aca="false">K118/pb_nv/s_phiVsa</f>
        <v>0</v>
      </c>
      <c r="L119" s="54" t="n">
        <f aca="false">L118/pb_nv/s_phiVsa</f>
        <v>0</v>
      </c>
      <c r="M119" s="54" t="n">
        <f aca="false">M118/pb_nv/s_phiVsa</f>
        <v>0</v>
      </c>
    </row>
    <row r="120" customFormat="false" ht="15" hidden="false" customHeight="false" outlineLevel="0" collapsed="false">
      <c r="A120" s="44" t="s">
        <v>326</v>
      </c>
      <c r="B120" s="44" t="s">
        <v>367</v>
      </c>
      <c r="C120" s="44" t="s">
        <v>196</v>
      </c>
      <c r="D120" s="54" t="n">
        <f aca="false">IF(arand_sold="Sí",0,D118*a_nf/a_n/vA_phi)</f>
        <v>0</v>
      </c>
      <c r="E120" s="54" t="n">
        <f aca="false">IF(arand_sold="Sí",0,E118*a_nf/a_n/vA_phi)</f>
        <v>0</v>
      </c>
      <c r="F120" s="54" t="n">
        <f aca="false">IF(arand_sold="Sí",0,F118*a_nf/a_n/vA_phi)</f>
        <v>0</v>
      </c>
      <c r="G120" s="54" t="n">
        <f aca="false">IF(arand_sold="Sí",0,G118*a_nf/a_n/vA_phi)</f>
        <v>0</v>
      </c>
      <c r="H120" s="54" t="n">
        <f aca="false">IF(arand_sold="Sí",0,H118*a_nf/a_n/vA_phi)</f>
        <v>0</v>
      </c>
      <c r="I120" s="54" t="n">
        <f aca="false">IF(arand_sold="Sí",0,I118*a_nf/a_n/vA_phi)</f>
        <v>0</v>
      </c>
      <c r="J120" s="54" t="n">
        <f aca="false">IF(arand_sold="Sí",0,J118*a_nf/a_n/vA_phi)</f>
        <v>0</v>
      </c>
      <c r="K120" s="54" t="n">
        <f aca="false">IF(arand_sold="Sí",0,K118*a_nf/a_n/vA_phi)</f>
        <v>0</v>
      </c>
      <c r="L120" s="54" t="n">
        <f aca="false">IF(arand_sold="Sí",0,L118*a_nf/a_n/vA_phi)</f>
        <v>0</v>
      </c>
      <c r="M120" s="54" t="n">
        <f aca="false">IF(arand_sold="Sí",0,M118*a_nf/a_n/vA_phi)</f>
        <v>0</v>
      </c>
    </row>
    <row r="121" customFormat="false" ht="15" hidden="false" customHeight="false" outlineLevel="0" collapsed="false">
      <c r="A121" s="44" t="s">
        <v>326</v>
      </c>
      <c r="B121" s="44" t="s">
        <v>368</v>
      </c>
      <c r="C121" s="44" t="s">
        <v>196</v>
      </c>
      <c r="D121" s="54" t="n">
        <f aca="false">D118/vB_phi</f>
        <v>0.0752993693478156</v>
      </c>
      <c r="E121" s="54" t="n">
        <f aca="false">E118/vB_phi</f>
        <v>0.150598738695631</v>
      </c>
      <c r="F121" s="54" t="n">
        <f aca="false">F118/vB_phi</f>
        <v>0.439246321195591</v>
      </c>
      <c r="G121" s="54" t="n">
        <f aca="false">G118/vB_phi</f>
        <v>0.439246321195591</v>
      </c>
      <c r="H121" s="54" t="n">
        <f aca="false">H118/vB_phi</f>
        <v>0.250997897826052</v>
      </c>
      <c r="I121" s="54" t="n">
        <f aca="false">I118/vB_phi</f>
        <v>0</v>
      </c>
      <c r="J121" s="54" t="n">
        <f aca="false">J118/vB_phi</f>
        <v>0</v>
      </c>
      <c r="K121" s="54" t="n">
        <f aca="false">K118/vB_phi</f>
        <v>0</v>
      </c>
      <c r="L121" s="54" t="n">
        <f aca="false">L118/vB_phi</f>
        <v>0</v>
      </c>
      <c r="M121" s="54" t="n">
        <f aca="false">M118/vB_phi</f>
        <v>0</v>
      </c>
    </row>
    <row r="122" customFormat="false" ht="15" hidden="false" customHeight="false" outlineLevel="0" collapsed="false">
      <c r="A122" s="44" t="s">
        <v>326</v>
      </c>
      <c r="B122" s="44" t="s">
        <v>369</v>
      </c>
      <c r="C122" s="44" t="s">
        <v>196</v>
      </c>
      <c r="D122" s="54" t="n">
        <f aca="false">MAX(D120,D121)</f>
        <v>0.0752993693478156</v>
      </c>
      <c r="E122" s="54" t="n">
        <f aca="false">MAX(E120,E121)</f>
        <v>0.150598738695631</v>
      </c>
      <c r="F122" s="54" t="n">
        <f aca="false">MAX(F120,F121)</f>
        <v>0.439246321195591</v>
      </c>
      <c r="G122" s="54" t="n">
        <f aca="false">MAX(G120,G121)</f>
        <v>0.439246321195591</v>
      </c>
      <c r="H122" s="54" t="n">
        <f aca="false">MAX(H120,H121)</f>
        <v>0.250997897826052</v>
      </c>
      <c r="I122" s="54" t="n">
        <f aca="false">MAX(I120,I121)</f>
        <v>0</v>
      </c>
      <c r="J122" s="54" t="n">
        <f aca="false">MAX(J120,J121)</f>
        <v>0</v>
      </c>
      <c r="K122" s="54" t="n">
        <f aca="false">MAX(K120,K121)</f>
        <v>0</v>
      </c>
      <c r="L122" s="54" t="n">
        <f aca="false">MAX(L120,L121)</f>
        <v>0</v>
      </c>
      <c r="M122" s="54" t="n">
        <f aca="false">MAX(M120,M121)</f>
        <v>0</v>
      </c>
    </row>
    <row r="123" customFormat="false" ht="15" hidden="false" customHeight="false" outlineLevel="0" collapsed="false">
      <c r="A123" s="44" t="s">
        <v>328</v>
      </c>
      <c r="B123" s="44" t="s">
        <v>370</v>
      </c>
      <c r="C123" s="44" t="s">
        <v>44</v>
      </c>
      <c r="D123" s="52" t="n">
        <f aca="false">IF(D120&gt;=D121,D118*a_nf/a_n,D118)/1000</f>
        <v>0.6</v>
      </c>
      <c r="E123" s="52" t="n">
        <f aca="false">IF(E120&gt;=E121,E118*a_nf/a_n,E118)/1000</f>
        <v>1.2</v>
      </c>
      <c r="F123" s="52" t="n">
        <f aca="false">IF(F120&gt;=F121,F118*a_nf/a_n,F118)/1000</f>
        <v>3.5</v>
      </c>
      <c r="G123" s="52" t="n">
        <f aca="false">IF(G120&gt;=G121,G118*a_nf/a_n,G118)/1000</f>
        <v>3.5</v>
      </c>
      <c r="H123" s="52" t="n">
        <f aca="false">IF(H120&gt;=H121,H118*a_nf/a_n,H118)/1000</f>
        <v>2</v>
      </c>
      <c r="I123" s="52" t="n">
        <f aca="false">IF(I120&gt;=I121,I118*a_nf/a_n,I118)/1000</f>
        <v>0</v>
      </c>
      <c r="J123" s="52" t="n">
        <f aca="false">IF(J120&gt;=J121,J118*a_nf/a_n,J118)/1000</f>
        <v>0</v>
      </c>
      <c r="K123" s="52" t="n">
        <f aca="false">IF(K120&gt;=K121,K118*a_nf/a_n,K118)/1000</f>
        <v>0</v>
      </c>
      <c r="L123" s="52" t="n">
        <f aca="false">IF(L120&gt;=L121,L118*a_nf/a_n,L118)/1000</f>
        <v>0</v>
      </c>
      <c r="M123" s="52" t="n">
        <f aca="false">IF(M120&gt;=M121,M118*a_nf/a_n,M118)/1000</f>
        <v>0</v>
      </c>
    </row>
    <row r="124" customFormat="false" ht="15" hidden="false" customHeight="false" outlineLevel="0" collapsed="false">
      <c r="A124" s="44" t="s">
        <v>330</v>
      </c>
      <c r="B124" s="44" t="s">
        <v>371</v>
      </c>
      <c r="C124" s="44" t="s">
        <v>44</v>
      </c>
      <c r="D124" s="52" t="n">
        <f aca="false">IF(D120&gt;=D121,vA_phi,vB_phi)/1000</f>
        <v>7.96819422522037</v>
      </c>
      <c r="E124" s="52" t="n">
        <f aca="false">IF(E120&gt;=E121,vA_phi,vB_phi)/1000</f>
        <v>7.96819422522037</v>
      </c>
      <c r="F124" s="52" t="n">
        <f aca="false">IF(F120&gt;=F121,vA_phi,vB_phi)/1000</f>
        <v>7.96819422522037</v>
      </c>
      <c r="G124" s="52" t="n">
        <f aca="false">IF(G120&gt;=G121,vA_phi,vB_phi)/1000</f>
        <v>7.96819422522037</v>
      </c>
      <c r="H124" s="52" t="n">
        <f aca="false">IF(H120&gt;=H121,vA_phi,vB_phi)/1000</f>
        <v>7.96819422522037</v>
      </c>
      <c r="I124" s="52" t="n">
        <f aca="false">IF(I120&gt;=I121,vA_phi,vB_phi)/1000</f>
        <v>5.24510002647093</v>
      </c>
      <c r="J124" s="52" t="n">
        <f aca="false">IF(J120&gt;=J121,vA_phi,vB_phi)/1000</f>
        <v>5.24510002647093</v>
      </c>
      <c r="K124" s="52" t="n">
        <f aca="false">IF(K120&gt;=K121,vA_phi,vB_phi)/1000</f>
        <v>5.24510002647093</v>
      </c>
      <c r="L124" s="52" t="n">
        <f aca="false">IF(L120&gt;=L121,vA_phi,vB_phi)/1000</f>
        <v>5.24510002647093</v>
      </c>
      <c r="M124" s="52" t="n">
        <f aca="false">IF(M120&gt;=M121,vA_phi,vB_phi)/1000</f>
        <v>5.24510002647093</v>
      </c>
    </row>
    <row r="125" customFormat="false" ht="15" hidden="false" customHeight="false" outlineLevel="0" collapsed="false">
      <c r="A125" s="44" t="s">
        <v>326</v>
      </c>
      <c r="B125" s="44" t="s">
        <v>372</v>
      </c>
      <c r="C125" s="44" t="s">
        <v>196</v>
      </c>
      <c r="D125" s="54" t="n">
        <f aca="false">D118/pr_phiV</f>
        <v>0.0158304719765969</v>
      </c>
      <c r="E125" s="54" t="n">
        <f aca="false">E118/pr_phiV</f>
        <v>0.0316609439531939</v>
      </c>
      <c r="F125" s="54" t="n">
        <f aca="false">F118/pr_phiV</f>
        <v>0.0923444198634822</v>
      </c>
      <c r="G125" s="54" t="n">
        <f aca="false">G118/pr_phiV</f>
        <v>0.0923444198634822</v>
      </c>
      <c r="H125" s="54" t="n">
        <f aca="false">H118/pr_phiV</f>
        <v>0.0527682399219898</v>
      </c>
      <c r="I125" s="54" t="n">
        <f aca="false">I118/pr_phiV</f>
        <v>0</v>
      </c>
      <c r="J125" s="54" t="n">
        <f aca="false">J118/pr_phiV</f>
        <v>0</v>
      </c>
      <c r="K125" s="54" t="n">
        <f aca="false">K118/pr_phiV</f>
        <v>0</v>
      </c>
      <c r="L125" s="54" t="n">
        <f aca="false">L118/pr_phiV</f>
        <v>0</v>
      </c>
      <c r="M125" s="54" t="n">
        <f aca="false">M118/pr_phiV</f>
        <v>0</v>
      </c>
    </row>
    <row r="126" customFormat="false" ht="15" hidden="false" customHeight="false" outlineLevel="0" collapsed="false">
      <c r="A126" s="44" t="s">
        <v>373</v>
      </c>
      <c r="B126" s="44" t="s">
        <v>374</v>
      </c>
      <c r="C126" s="44" t="s">
        <v>196</v>
      </c>
      <c r="D126" s="54" t="n">
        <f aca="false">MAX(D105,D109,D112,D115)</f>
        <v>0</v>
      </c>
      <c r="E126" s="54" t="n">
        <f aca="false">MAX(E105,E109,E112,E115)</f>
        <v>0</v>
      </c>
      <c r="F126" s="54" t="n">
        <f aca="false">MAX(F105,F109,F112,F115)</f>
        <v>0.495353403877391</v>
      </c>
      <c r="G126" s="54" t="n">
        <f aca="false">MAX(G105,G109,G112,G115)</f>
        <v>0.583153412595633</v>
      </c>
      <c r="H126" s="54" t="n">
        <f aca="false">MAX(H105,H109,H112,H115)</f>
        <v>0.255185123822015</v>
      </c>
      <c r="I126" s="54" t="n">
        <f aca="false">MAX(I105,I109,I112,I115)</f>
        <v>0</v>
      </c>
      <c r="J126" s="54" t="n">
        <f aca="false">MAX(J105,J109,J112,J115)</f>
        <v>0</v>
      </c>
      <c r="K126" s="54" t="n">
        <f aca="false">MAX(K105,K109,K112,K115)</f>
        <v>0</v>
      </c>
      <c r="L126" s="54" t="n">
        <f aca="false">MAX(L105,L109,L112,L115)</f>
        <v>0</v>
      </c>
      <c r="M126" s="54" t="n">
        <f aca="false">MAX(M105,M109,M112,M115)</f>
        <v>0</v>
      </c>
    </row>
    <row r="127" customFormat="false" ht="15" hidden="false" customHeight="false" outlineLevel="0" collapsed="false">
      <c r="A127" s="44" t="s">
        <v>375</v>
      </c>
      <c r="B127" s="44" t="s">
        <v>376</v>
      </c>
      <c r="C127" s="44" t="s">
        <v>196</v>
      </c>
      <c r="D127" s="54" t="n">
        <f aca="false">MAX(D119,D122,D125)</f>
        <v>0.0752993693478156</v>
      </c>
      <c r="E127" s="54" t="n">
        <f aca="false">MAX(E119,E122,E125)</f>
        <v>0.150598738695631</v>
      </c>
      <c r="F127" s="54" t="n">
        <f aca="false">MAX(F119,F122,F125)</f>
        <v>0.439246321195591</v>
      </c>
      <c r="G127" s="54" t="n">
        <f aca="false">MAX(G119,G122,G125)</f>
        <v>0.439246321195591</v>
      </c>
      <c r="H127" s="54" t="n">
        <f aca="false">MAX(H119,H122,H125)</f>
        <v>0.250997897826052</v>
      </c>
      <c r="I127" s="54" t="n">
        <f aca="false">MAX(I119,I122,I125)</f>
        <v>0</v>
      </c>
      <c r="J127" s="54" t="n">
        <f aca="false">MAX(J119,J122,J125)</f>
        <v>0</v>
      </c>
      <c r="K127" s="54" t="n">
        <f aca="false">MAX(K119,K122,K125)</f>
        <v>0</v>
      </c>
      <c r="L127" s="54" t="n">
        <f aca="false">MAX(L119,L122,L125)</f>
        <v>0</v>
      </c>
      <c r="M127" s="54" t="n">
        <f aca="false">MAX(M119,M122,M125)</f>
        <v>0</v>
      </c>
    </row>
    <row r="128" customFormat="false" ht="15" hidden="false" customHeight="false" outlineLevel="0" collapsed="false">
      <c r="A128" s="44" t="s">
        <v>326</v>
      </c>
      <c r="B128" s="44" t="s">
        <v>377</v>
      </c>
      <c r="C128" s="44" t="s">
        <v>196</v>
      </c>
      <c r="D128" s="54" t="n">
        <f aca="false">IF(D126&lt;=0.2,D127,IF(D127&lt;=0.2,D126,(D126+D127)/1.2))</f>
        <v>0.0752993693478156</v>
      </c>
      <c r="E128" s="54" t="n">
        <f aca="false">IF(E126&lt;=0.2,E127,IF(E127&lt;=0.2,E126,(E126+E127)/1.2))</f>
        <v>0.150598738695631</v>
      </c>
      <c r="F128" s="54" t="n">
        <f aca="false">IF(F126&lt;=0.2,F127,IF(F127&lt;=0.2,F126,(F126+F127)/1.2))</f>
        <v>0.778833104227485</v>
      </c>
      <c r="G128" s="54" t="n">
        <f aca="false">IF(G126&lt;=0.2,G127,IF(G127&lt;=0.2,G126,(G126+G127)/1.2))</f>
        <v>0.851999778159353</v>
      </c>
      <c r="H128" s="54" t="n">
        <f aca="false">IF(H126&lt;=0.2,H127,IF(H127&lt;=0.2,H126,(H126+H127)/1.2))</f>
        <v>0.421819184706723</v>
      </c>
      <c r="I128" s="54" t="n">
        <f aca="false">IF(I126&lt;=0.2,I127,IF(I127&lt;=0.2,I126,(I126+I127)/1.2))</f>
        <v>0</v>
      </c>
      <c r="J128" s="54" t="n">
        <f aca="false">IF(J126&lt;=0.2,J127,IF(J127&lt;=0.2,J126,(J126+J127)/1.2))</f>
        <v>0</v>
      </c>
      <c r="K128" s="54" t="n">
        <f aca="false">IF(K126&lt;=0.2,K127,IF(K127&lt;=0.2,K126,(K126+K127)/1.2))</f>
        <v>0</v>
      </c>
      <c r="L128" s="54" t="n">
        <f aca="false">IF(L126&lt;=0.2,L127,IF(L127&lt;=0.2,L126,(L126+L127)/1.2))</f>
        <v>0</v>
      </c>
      <c r="M128" s="54" t="n">
        <f aca="false">IF(M126&lt;=0.2,M127,IF(M127&lt;=0.2,M126,(M126+M127)/1.2))</f>
        <v>0</v>
      </c>
    </row>
    <row r="129" customFormat="false" ht="15" hidden="false" customHeight="false" outlineLevel="0" collapsed="false">
      <c r="A129" s="44" t="s">
        <v>378</v>
      </c>
      <c r="B129" s="44" t="s">
        <v>379</v>
      </c>
      <c r="C129" s="44" t="s">
        <v>235</v>
      </c>
      <c r="D129" s="51" t="n">
        <f aca="false">MAX(0,D84/(c_d-c_tf)-D82*c_bf*c_tf/c_A)</f>
        <v>0</v>
      </c>
      <c r="E129" s="51" t="n">
        <f aca="false">MAX(0,E84/(c_d-c_tf)-E82*c_bf*c_tf/c_A)</f>
        <v>3092.99895506792</v>
      </c>
      <c r="F129" s="51" t="n">
        <f aca="false">MAX(0,F84/(c_d-c_tf)-F82*c_bf*c_tf/c_A)</f>
        <v>23134.7962382445</v>
      </c>
      <c r="G129" s="51" t="n">
        <f aca="false">MAX(0,G84/(c_d-c_tf)-G82*c_bf*c_tf/c_A)</f>
        <v>24264.6290491118</v>
      </c>
      <c r="H129" s="51" t="n">
        <f aca="false">MAX(0,H84/(c_d-c_tf)-H82*c_bf*c_tf/c_A)</f>
        <v>8377.08986415883</v>
      </c>
      <c r="I129" s="51" t="n">
        <f aca="false">MAX(0,I84/(c_d-c_tf)-I82*c_bf*c_tf/c_A)</f>
        <v>0</v>
      </c>
      <c r="J129" s="51" t="n">
        <f aca="false">MAX(0,J84/(c_d-c_tf)-J82*c_bf*c_tf/c_A)</f>
        <v>0</v>
      </c>
      <c r="K129" s="51" t="n">
        <f aca="false">MAX(0,K84/(c_d-c_tf)-K82*c_bf*c_tf/c_A)</f>
        <v>0</v>
      </c>
      <c r="L129" s="51" t="n">
        <f aca="false">MAX(0,L84/(c_d-c_tf)-L82*c_bf*c_tf/c_A)</f>
        <v>0</v>
      </c>
      <c r="M129" s="51" t="n">
        <f aca="false">MAX(0,M84/(c_d-c_tf)-M82*c_bf*c_tf/c_A)</f>
        <v>0</v>
      </c>
    </row>
    <row r="130" customFormat="false" ht="15" hidden="false" customHeight="false" outlineLevel="0" collapsed="false">
      <c r="A130" s="44" t="s">
        <v>326</v>
      </c>
      <c r="B130" s="44" t="s">
        <v>380</v>
      </c>
      <c r="C130" s="44" t="s">
        <v>196</v>
      </c>
      <c r="D130" s="54" t="n">
        <f aca="false">D129/w_phiRf</f>
        <v>0</v>
      </c>
      <c r="E130" s="54" t="n">
        <f aca="false">E129/w_phiRf</f>
        <v>0.0465155579736664</v>
      </c>
      <c r="F130" s="54" t="n">
        <f aca="false">F129/w_phiRf</f>
        <v>0.347923801870599</v>
      </c>
      <c r="G130" s="54" t="n">
        <f aca="false">G129/w_phiRf</f>
        <v>0.364915338039189</v>
      </c>
      <c r="H130" s="54" t="n">
        <f aca="false">H129/w_phiRf</f>
        <v>0.125982910077749</v>
      </c>
      <c r="I130" s="54" t="n">
        <f aca="false">I129/w_phiRf</f>
        <v>0</v>
      </c>
      <c r="J130" s="54" t="n">
        <f aca="false">J129/w_phiRf</f>
        <v>0</v>
      </c>
      <c r="K130" s="54" t="n">
        <f aca="false">K129/w_phiRf</f>
        <v>0</v>
      </c>
      <c r="L130" s="54" t="n">
        <f aca="false">L129/w_phiRf</f>
        <v>0</v>
      </c>
      <c r="M130" s="54" t="n">
        <f aca="false">M129/w_phiRf</f>
        <v>0</v>
      </c>
    </row>
    <row r="131" customFormat="false" ht="15" hidden="false" customHeight="false" outlineLevel="0" collapsed="false">
      <c r="A131" s="44" t="s">
        <v>326</v>
      </c>
      <c r="B131" s="44" t="s">
        <v>381</v>
      </c>
      <c r="C131" s="44" t="s">
        <v>196</v>
      </c>
      <c r="D131" s="54" t="n">
        <f aca="false">D83/w_phiRw</f>
        <v>0.00950678553282019</v>
      </c>
      <c r="E131" s="54" t="n">
        <f aca="false">E83/w_phiRw</f>
        <v>0.0190135710656404</v>
      </c>
      <c r="F131" s="54" t="n">
        <f aca="false">F83/w_phiRw</f>
        <v>0.0554562489414511</v>
      </c>
      <c r="G131" s="54" t="n">
        <f aca="false">G83/w_phiRw</f>
        <v>0.0554562489414511</v>
      </c>
      <c r="H131" s="54" t="n">
        <f aca="false">H83/w_phiRw</f>
        <v>0.0316892851094006</v>
      </c>
      <c r="I131" s="54" t="n">
        <f aca="false">I83/w_phiRw</f>
        <v>0</v>
      </c>
      <c r="J131" s="54" t="n">
        <f aca="false">J83/w_phiRw</f>
        <v>0</v>
      </c>
      <c r="K131" s="54" t="n">
        <f aca="false">K83/w_phiRw</f>
        <v>0</v>
      </c>
      <c r="L131" s="54" t="n">
        <f aca="false">L83/w_phiRw</f>
        <v>0</v>
      </c>
      <c r="M131" s="54" t="n">
        <f aca="false">M83/w_phiRw</f>
        <v>0</v>
      </c>
    </row>
    <row r="132" customFormat="false" ht="15" hidden="false" customHeight="false" outlineLevel="0" collapsed="false">
      <c r="A132" s="44" t="s">
        <v>382</v>
      </c>
      <c r="B132" s="44" t="s">
        <v>150</v>
      </c>
      <c r="C132" s="44" t="s">
        <v>196</v>
      </c>
      <c r="D132" s="54" t="n">
        <f aca="false">MAX(D92,D100,D101,D105,D109,D112,D115,D119,D122,D125,D128,D130,D131)</f>
        <v>0.0752993693478156</v>
      </c>
      <c r="E132" s="54" t="n">
        <f aca="false">MAX(E92,E100,E101,E105,E109,E112,E115,E119,E122,E125,E128,E130,E131)</f>
        <v>0.195249583843599</v>
      </c>
      <c r="F132" s="54" t="n">
        <f aca="false">MAX(F92,F100,F101,F105,F109,F112,F115,F119,F122,F125,F128,F130,F131)</f>
        <v>0.841706326532662</v>
      </c>
      <c r="G132" s="54" t="n">
        <f aca="false">MAX(G92,G100,G101,G105,G109,G112,G115,G119,G122,G125,G128,G130,G131)</f>
        <v>0.851999778159353</v>
      </c>
      <c r="H132" s="54" t="n">
        <f aca="false">MAX(H92,H100,H101,H105,H109,H112,H115,H119,H122,H125,H128,H130,H131)</f>
        <v>0.421819184706723</v>
      </c>
      <c r="I132" s="54" t="n">
        <f aca="false">MAX(I92,I100,I101,I105,I109,I112,I115,I119,I122,I125,I128,I130,I131)</f>
        <v>0</v>
      </c>
      <c r="J132" s="54" t="n">
        <f aca="false">MAX(J92,J100,J101,J105,J109,J112,J115,J119,J122,J125,J128,J130,J131)</f>
        <v>0</v>
      </c>
      <c r="K132" s="54" t="n">
        <f aca="false">MAX(K92,K100,K101,K105,K109,K112,K115,K119,K122,K125,K128,K130,K131)</f>
        <v>0</v>
      </c>
      <c r="L132" s="54" t="n">
        <f aca="false">MAX(L92,L100,L101,L105,L109,L112,L115,L119,L122,L125,L128,L130,L131)</f>
        <v>0</v>
      </c>
      <c r="M132" s="54" t="n">
        <f aca="false">MAX(M92,M100,M101,M105,M109,M112,M115,M119,M122,M125,M128,M130,M131)</f>
        <v>0</v>
      </c>
    </row>
  </sheetData>
  <mergeCells count="5">
    <mergeCell ref="A4:M4"/>
    <mergeCell ref="A30:M30"/>
    <mergeCell ref="A39:M39"/>
    <mergeCell ref="A74:M74"/>
    <mergeCell ref="A79:M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8"/>
    <col collapsed="false" customWidth="true" hidden="false" outlineLevel="0" max="6" min="6" style="0" width="2"/>
    <col collapsed="false" customWidth="true" hidden="false" outlineLevel="0" max="7" min="7" style="0" width="12"/>
    <col collapsed="false" customWidth="true" hidden="false" outlineLevel="0" max="9" min="8" style="0" width="7"/>
    <col collapsed="false" customWidth="true" hidden="false" outlineLevel="0" max="10" min="10" style="0" width="2"/>
    <col collapsed="false" customWidth="true" hidden="false" outlineLevel="0" max="11" min="11" style="0" width="20"/>
    <col collapsed="false" customWidth="true" hidden="false" outlineLevel="0" max="13" min="12" style="0" width="7"/>
    <col collapsed="false" customWidth="true" hidden="false" outlineLevel="0" max="14" min="14" style="0" width="2"/>
    <col collapsed="false" customWidth="true" hidden="false" outlineLevel="0" max="15" min="15" style="0" width="10"/>
    <col collapsed="false" customWidth="true" hidden="false" outlineLevel="0" max="17" min="16" style="0" width="8"/>
    <col collapsed="false" customWidth="true" hidden="false" outlineLevel="0" max="18" min="18" style="0" width="2"/>
    <col collapsed="false" customWidth="true" hidden="false" outlineLevel="0" max="19" min="19" style="0" width="8"/>
    <col collapsed="false" customWidth="true" hidden="false" outlineLevel="0" max="20" min="20" style="0" width="2"/>
    <col collapsed="false" customWidth="true" hidden="false" outlineLevel="0" max="21" min="21" style="0" width="8"/>
    <col collapsed="false" customWidth="true" hidden="false" outlineLevel="0" max="22" min="22" style="0" width="2"/>
    <col collapsed="false" customWidth="true" hidden="false" outlineLevel="0" max="23" min="23" style="0" width="10"/>
    <col collapsed="false" customWidth="true" hidden="false" outlineLevel="0" max="24" min="24" style="0" width="8"/>
    <col collapsed="false" customWidth="true" hidden="false" outlineLevel="0" max="25" min="25" style="0" width="2"/>
    <col collapsed="false" customWidth="true" hidden="false" outlineLevel="0" max="26" min="26" style="0" width="7"/>
    <col collapsed="false" customWidth="true" hidden="false" outlineLevel="0" max="28" min="28" style="0" width="8"/>
    <col collapsed="false" customWidth="true" hidden="false" outlineLevel="0" max="30" min="30" style="0" width="7"/>
    <col collapsed="false" customWidth="true" hidden="false" outlineLevel="0" max="31" min="31" style="0" width="9"/>
  </cols>
  <sheetData>
    <row r="1" customFormat="false" ht="15" hidden="false" customHeight="false" outlineLevel="0" collapsed="false">
      <c r="A1" s="55" t="s">
        <v>383</v>
      </c>
    </row>
    <row r="3" customFormat="false" ht="15" hidden="false" customHeight="false" outlineLevel="0" collapsed="false">
      <c r="A3" s="56" t="s">
        <v>384</v>
      </c>
      <c r="G3" s="56" t="s">
        <v>385</v>
      </c>
      <c r="K3" s="56" t="s">
        <v>386</v>
      </c>
      <c r="O3" s="56" t="s">
        <v>387</v>
      </c>
      <c r="S3" s="56" t="s">
        <v>388</v>
      </c>
      <c r="U3" s="56" t="s">
        <v>389</v>
      </c>
      <c r="W3" s="56" t="s">
        <v>390</v>
      </c>
      <c r="Z3" s="56" t="s">
        <v>391</v>
      </c>
      <c r="AB3" s="56" t="s">
        <v>195</v>
      </c>
      <c r="AD3" s="56" t="s">
        <v>392</v>
      </c>
    </row>
    <row r="4" customFormat="false" ht="15" hidden="false" customHeight="false" outlineLevel="0" collapsed="false">
      <c r="A4" s="57" t="s">
        <v>393</v>
      </c>
      <c r="B4" s="57" t="s">
        <v>394</v>
      </c>
      <c r="C4" s="57" t="s">
        <v>395</v>
      </c>
      <c r="D4" s="57" t="s">
        <v>396</v>
      </c>
      <c r="E4" s="57" t="s">
        <v>397</v>
      </c>
      <c r="G4" s="57" t="s">
        <v>398</v>
      </c>
      <c r="H4" s="57" t="s">
        <v>399</v>
      </c>
      <c r="I4" s="57" t="s">
        <v>400</v>
      </c>
      <c r="K4" s="57" t="s">
        <v>72</v>
      </c>
      <c r="L4" s="57" t="s">
        <v>78</v>
      </c>
      <c r="M4" s="57" t="s">
        <v>401</v>
      </c>
      <c r="O4" s="57" t="s">
        <v>85</v>
      </c>
      <c r="P4" s="57" t="s">
        <v>402</v>
      </c>
      <c r="Q4" s="57" t="s">
        <v>403</v>
      </c>
      <c r="S4" s="57" t="s">
        <v>178</v>
      </c>
      <c r="U4" s="57" t="s">
        <v>126</v>
      </c>
      <c r="W4" s="57" t="s">
        <v>153</v>
      </c>
      <c r="X4" s="57" t="s">
        <v>293</v>
      </c>
      <c r="Z4" s="57" t="s">
        <v>404</v>
      </c>
      <c r="AB4" s="57" t="s">
        <v>197</v>
      </c>
      <c r="AD4" s="57" t="s">
        <v>405</v>
      </c>
      <c r="AE4" s="57" t="s">
        <v>406</v>
      </c>
    </row>
    <row r="5" customFormat="false" ht="15" hidden="false" customHeight="false" outlineLevel="0" collapsed="false">
      <c r="A5" s="7" t="s">
        <v>407</v>
      </c>
      <c r="B5" s="7"/>
      <c r="C5" s="7"/>
      <c r="D5" s="7"/>
      <c r="E5" s="7"/>
      <c r="G5" s="7" t="s">
        <v>46</v>
      </c>
      <c r="H5" s="7" t="n">
        <v>2530</v>
      </c>
      <c r="I5" s="7" t="n">
        <v>4080</v>
      </c>
      <c r="K5" s="7" t="s">
        <v>408</v>
      </c>
      <c r="L5" s="7" t="n">
        <v>2530</v>
      </c>
      <c r="M5" s="7" t="n">
        <v>4080</v>
      </c>
      <c r="O5" s="7" t="s">
        <v>409</v>
      </c>
      <c r="P5" s="7" t="n">
        <v>0.5</v>
      </c>
      <c r="Q5" s="7" t="n">
        <v>13</v>
      </c>
      <c r="S5" s="7" t="n">
        <v>10</v>
      </c>
      <c r="U5" s="7" t="n">
        <v>210</v>
      </c>
      <c r="W5" s="7" t="s">
        <v>410</v>
      </c>
      <c r="X5" s="7" t="n">
        <v>4220</v>
      </c>
      <c r="Z5" s="7" t="s">
        <v>118</v>
      </c>
      <c r="AB5" s="7" t="n">
        <v>2</v>
      </c>
      <c r="AD5" s="7" t="n">
        <v>8</v>
      </c>
      <c r="AE5" s="7" t="n">
        <v>0.503</v>
      </c>
    </row>
    <row r="6" customFormat="false" ht="15" hidden="false" customHeight="false" outlineLevel="0" collapsed="false">
      <c r="A6" s="7" t="s">
        <v>411</v>
      </c>
      <c r="B6" s="7" t="n">
        <v>200</v>
      </c>
      <c r="C6" s="7" t="n">
        <v>140</v>
      </c>
      <c r="D6" s="7" t="n">
        <v>6</v>
      </c>
      <c r="E6" s="7" t="n">
        <v>12</v>
      </c>
      <c r="G6" s="7" t="s">
        <v>412</v>
      </c>
      <c r="H6" s="7" t="n">
        <v>3515</v>
      </c>
      <c r="I6" s="7" t="n">
        <v>4570</v>
      </c>
      <c r="K6" s="7" t="s">
        <v>73</v>
      </c>
      <c r="L6" s="7" t="n">
        <v>3870</v>
      </c>
      <c r="M6" s="7" t="n">
        <v>5270</v>
      </c>
      <c r="O6" s="7" t="s">
        <v>413</v>
      </c>
      <c r="P6" s="7" t="n">
        <v>0.625</v>
      </c>
      <c r="Q6" s="7" t="n">
        <v>11</v>
      </c>
      <c r="S6" s="7" t="n">
        <v>12</v>
      </c>
      <c r="U6" s="7" t="n">
        <v>240</v>
      </c>
      <c r="W6" s="7" t="s">
        <v>154</v>
      </c>
      <c r="X6" s="7" t="n">
        <v>4920</v>
      </c>
      <c r="Z6" s="7" t="s">
        <v>414</v>
      </c>
      <c r="AB6" s="7" t="n">
        <v>3</v>
      </c>
      <c r="AD6" s="7" t="n">
        <v>10</v>
      </c>
      <c r="AE6" s="7" t="n">
        <v>0.785</v>
      </c>
    </row>
    <row r="7" customFormat="false" ht="15" hidden="false" customHeight="false" outlineLevel="0" collapsed="false">
      <c r="A7" s="7" t="s">
        <v>415</v>
      </c>
      <c r="B7" s="7" t="n">
        <v>220</v>
      </c>
      <c r="C7" s="7" t="n">
        <v>160</v>
      </c>
      <c r="D7" s="7" t="n">
        <v>6</v>
      </c>
      <c r="E7" s="7" t="n">
        <v>12</v>
      </c>
      <c r="G7" s="7" t="s">
        <v>416</v>
      </c>
      <c r="H7" s="7" t="n">
        <v>3515</v>
      </c>
      <c r="I7" s="7" t="n">
        <v>4920</v>
      </c>
      <c r="K7" s="7" t="s">
        <v>417</v>
      </c>
      <c r="L7" s="7" t="n">
        <v>7380</v>
      </c>
      <c r="M7" s="7" t="n">
        <v>8790</v>
      </c>
      <c r="O7" s="7" t="s">
        <v>418</v>
      </c>
      <c r="P7" s="7" t="n">
        <v>0.75</v>
      </c>
      <c r="Q7" s="7" t="n">
        <v>10</v>
      </c>
      <c r="S7" s="7" t="n">
        <v>15</v>
      </c>
      <c r="U7" s="7" t="n">
        <v>280</v>
      </c>
      <c r="AB7" s="7" t="n">
        <v>4</v>
      </c>
      <c r="AD7" s="7" t="n">
        <v>12</v>
      </c>
      <c r="AE7" s="7" t="n">
        <v>1.131</v>
      </c>
    </row>
    <row r="8" customFormat="false" ht="15" hidden="false" customHeight="false" outlineLevel="0" collapsed="false">
      <c r="A8" s="7" t="s">
        <v>419</v>
      </c>
      <c r="B8" s="7" t="n">
        <v>240</v>
      </c>
      <c r="C8" s="7" t="n">
        <v>180</v>
      </c>
      <c r="D8" s="7" t="n">
        <v>6</v>
      </c>
      <c r="E8" s="7" t="n">
        <v>12</v>
      </c>
      <c r="K8" s="7" t="s">
        <v>420</v>
      </c>
      <c r="L8" s="7" t="n">
        <v>2530</v>
      </c>
      <c r="M8" s="7" t="n">
        <v>4080</v>
      </c>
      <c r="O8" s="7" t="s">
        <v>421</v>
      </c>
      <c r="P8" s="7" t="n">
        <v>0.875</v>
      </c>
      <c r="Q8" s="7" t="n">
        <v>9</v>
      </c>
      <c r="S8" s="7" t="n">
        <v>16</v>
      </c>
      <c r="U8" s="7" t="n">
        <v>300</v>
      </c>
      <c r="AD8" s="7" t="n">
        <v>14</v>
      </c>
      <c r="AE8" s="7" t="n">
        <v>1.539</v>
      </c>
    </row>
    <row r="9" customFormat="false" ht="15" hidden="false" customHeight="false" outlineLevel="0" collapsed="false">
      <c r="A9" s="7" t="s">
        <v>422</v>
      </c>
      <c r="B9" s="7" t="n">
        <v>260</v>
      </c>
      <c r="C9" s="7" t="n">
        <v>180</v>
      </c>
      <c r="D9" s="7" t="n">
        <v>6</v>
      </c>
      <c r="E9" s="7" t="n">
        <v>12</v>
      </c>
      <c r="O9" s="7" t="s">
        <v>86</v>
      </c>
      <c r="P9" s="7" t="n">
        <v>1</v>
      </c>
      <c r="Q9" s="7" t="n">
        <v>8</v>
      </c>
      <c r="S9" s="7" t="n">
        <v>19</v>
      </c>
      <c r="U9" s="7" t="n">
        <v>350</v>
      </c>
      <c r="AD9" s="7" t="n">
        <v>16</v>
      </c>
      <c r="AE9" s="7" t="n">
        <v>2.011</v>
      </c>
    </row>
    <row r="10" customFormat="false" ht="15" hidden="false" customHeight="false" outlineLevel="0" collapsed="false">
      <c r="A10" s="7" t="s">
        <v>423</v>
      </c>
      <c r="B10" s="7" t="n">
        <v>280</v>
      </c>
      <c r="C10" s="7" t="n">
        <v>180</v>
      </c>
      <c r="D10" s="7" t="n">
        <v>6</v>
      </c>
      <c r="E10" s="7" t="n">
        <v>12</v>
      </c>
      <c r="O10" s="7" t="s">
        <v>424</v>
      </c>
      <c r="P10" s="7" t="n">
        <v>1.125</v>
      </c>
      <c r="Q10" s="7" t="n">
        <v>7</v>
      </c>
      <c r="S10" s="7" t="n">
        <v>20</v>
      </c>
      <c r="U10" s="7" t="n">
        <v>420</v>
      </c>
      <c r="AD10" s="7" t="n">
        <v>18</v>
      </c>
      <c r="AE10" s="7" t="n">
        <v>2.545</v>
      </c>
    </row>
    <row r="11" customFormat="false" ht="15" hidden="false" customHeight="false" outlineLevel="0" collapsed="false">
      <c r="A11" s="7" t="s">
        <v>425</v>
      </c>
      <c r="B11" s="7" t="n">
        <v>300</v>
      </c>
      <c r="C11" s="7" t="n">
        <v>180</v>
      </c>
      <c r="D11" s="7" t="n">
        <v>6</v>
      </c>
      <c r="E11" s="7" t="n">
        <v>12</v>
      </c>
      <c r="O11" s="7" t="s">
        <v>426</v>
      </c>
      <c r="P11" s="7" t="n">
        <v>1.25</v>
      </c>
      <c r="Q11" s="7" t="n">
        <v>7</v>
      </c>
      <c r="S11" s="7" t="n">
        <v>22</v>
      </c>
      <c r="AD11" s="7" t="n">
        <v>20</v>
      </c>
      <c r="AE11" s="7" t="n">
        <v>3.142</v>
      </c>
    </row>
    <row r="12" customFormat="false" ht="15" hidden="false" customHeight="false" outlineLevel="0" collapsed="false">
      <c r="A12" s="7" t="s">
        <v>427</v>
      </c>
      <c r="B12" s="7" t="n">
        <v>320</v>
      </c>
      <c r="C12" s="7" t="n">
        <v>180</v>
      </c>
      <c r="D12" s="7" t="n">
        <v>6</v>
      </c>
      <c r="E12" s="7" t="n">
        <v>12</v>
      </c>
      <c r="O12" s="7" t="s">
        <v>428</v>
      </c>
      <c r="P12" s="7" t="n">
        <v>1.375</v>
      </c>
      <c r="Q12" s="7" t="n">
        <v>6</v>
      </c>
      <c r="S12" s="7" t="n">
        <v>25</v>
      </c>
      <c r="AD12" s="7" t="n">
        <v>22</v>
      </c>
      <c r="AE12" s="7" t="n">
        <v>3.801</v>
      </c>
    </row>
    <row r="13" customFormat="false" ht="15" hidden="false" customHeight="false" outlineLevel="0" collapsed="false">
      <c r="A13" s="7" t="s">
        <v>429</v>
      </c>
      <c r="B13" s="7" t="n">
        <v>340</v>
      </c>
      <c r="C13" s="7" t="n">
        <v>180</v>
      </c>
      <c r="D13" s="7" t="n">
        <v>6</v>
      </c>
      <c r="E13" s="7" t="n">
        <v>12</v>
      </c>
      <c r="O13" s="7" t="s">
        <v>430</v>
      </c>
      <c r="P13" s="7" t="n">
        <v>1.5</v>
      </c>
      <c r="Q13" s="7" t="n">
        <v>6</v>
      </c>
      <c r="S13" s="7" t="n">
        <v>28</v>
      </c>
      <c r="AD13" s="7" t="n">
        <v>25</v>
      </c>
      <c r="AE13" s="7" t="n">
        <v>4.909</v>
      </c>
    </row>
    <row r="14" customFormat="false" ht="15" hidden="false" customHeight="false" outlineLevel="0" collapsed="false">
      <c r="A14" s="7" t="s">
        <v>25</v>
      </c>
      <c r="B14" s="7" t="n">
        <v>360</v>
      </c>
      <c r="C14" s="7" t="n">
        <v>180</v>
      </c>
      <c r="D14" s="7" t="n">
        <v>6</v>
      </c>
      <c r="E14" s="7" t="n">
        <v>12</v>
      </c>
      <c r="O14" s="7" t="s">
        <v>431</v>
      </c>
      <c r="P14" s="7" t="n">
        <v>1.75</v>
      </c>
      <c r="Q14" s="7" t="n">
        <v>5</v>
      </c>
      <c r="S14" s="7" t="n">
        <v>30</v>
      </c>
    </row>
    <row r="15" customFormat="false" ht="15" hidden="false" customHeight="false" outlineLevel="0" collapsed="false">
      <c r="A15" s="7" t="s">
        <v>432</v>
      </c>
      <c r="B15" s="7" t="n">
        <v>380</v>
      </c>
      <c r="C15" s="7" t="n">
        <v>200</v>
      </c>
      <c r="D15" s="7" t="n">
        <v>8</v>
      </c>
      <c r="E15" s="7" t="n">
        <v>15</v>
      </c>
      <c r="O15" s="7" t="s">
        <v>433</v>
      </c>
      <c r="P15" s="7" t="n">
        <v>2</v>
      </c>
      <c r="Q15" s="7" t="n">
        <v>4.5</v>
      </c>
      <c r="S15" s="7" t="n">
        <v>32</v>
      </c>
    </row>
    <row r="16" customFormat="false" ht="15" hidden="false" customHeight="false" outlineLevel="0" collapsed="false">
      <c r="A16" s="7" t="s">
        <v>434</v>
      </c>
      <c r="B16" s="7" t="n">
        <v>400</v>
      </c>
      <c r="C16" s="7" t="n">
        <v>200</v>
      </c>
      <c r="D16" s="7" t="n">
        <v>8</v>
      </c>
      <c r="E16" s="7" t="n">
        <v>15</v>
      </c>
      <c r="S16" s="7" t="n">
        <v>35</v>
      </c>
    </row>
    <row r="17" customFormat="false" ht="15" hidden="false" customHeight="false" outlineLevel="0" collapsed="false">
      <c r="A17" s="7" t="s">
        <v>435</v>
      </c>
      <c r="B17" s="7" t="n">
        <v>420</v>
      </c>
      <c r="C17" s="7" t="n">
        <v>210</v>
      </c>
      <c r="D17" s="7" t="n">
        <v>8</v>
      </c>
      <c r="E17" s="7" t="n">
        <v>15</v>
      </c>
      <c r="S17" s="7" t="n">
        <v>38</v>
      </c>
    </row>
    <row r="18" customFormat="false" ht="15" hidden="false" customHeight="false" outlineLevel="0" collapsed="false">
      <c r="A18" s="7" t="s">
        <v>436</v>
      </c>
      <c r="B18" s="7" t="n">
        <v>440</v>
      </c>
      <c r="C18" s="7" t="n">
        <v>220</v>
      </c>
      <c r="D18" s="7" t="n">
        <v>8</v>
      </c>
      <c r="E18" s="7" t="n">
        <v>15</v>
      </c>
      <c r="S18" s="7" t="n">
        <v>40</v>
      </c>
    </row>
    <row r="19" customFormat="false" ht="15" hidden="false" customHeight="false" outlineLevel="0" collapsed="false">
      <c r="A19" s="7" t="s">
        <v>437</v>
      </c>
      <c r="B19" s="7" t="n">
        <v>460</v>
      </c>
      <c r="C19" s="7" t="n">
        <v>230</v>
      </c>
      <c r="D19" s="7" t="n">
        <v>8</v>
      </c>
      <c r="E19" s="7" t="n">
        <v>15</v>
      </c>
      <c r="S19" s="7" t="n">
        <v>45</v>
      </c>
    </row>
    <row r="20" customFormat="false" ht="15" hidden="false" customHeight="false" outlineLevel="0" collapsed="false">
      <c r="A20" s="7" t="s">
        <v>438</v>
      </c>
      <c r="B20" s="7" t="n">
        <v>480</v>
      </c>
      <c r="C20" s="7" t="n">
        <v>240</v>
      </c>
      <c r="D20" s="7" t="n">
        <v>8</v>
      </c>
      <c r="E20" s="7" t="n">
        <v>15</v>
      </c>
      <c r="S20" s="7" t="n">
        <v>50</v>
      </c>
    </row>
    <row r="21" customFormat="false" ht="15" hidden="false" customHeight="false" outlineLevel="0" collapsed="false">
      <c r="A21" s="7" t="s">
        <v>439</v>
      </c>
      <c r="B21" s="7" t="n">
        <v>500</v>
      </c>
      <c r="C21" s="7" t="n">
        <v>250</v>
      </c>
      <c r="D21" s="7" t="n">
        <v>10</v>
      </c>
      <c r="E21" s="7" t="n">
        <v>15</v>
      </c>
      <c r="S21" s="7" t="n">
        <v>55</v>
      </c>
    </row>
    <row r="22" customFormat="false" ht="15" hidden="false" customHeight="false" outlineLevel="0" collapsed="false">
      <c r="A22" s="7" t="s">
        <v>440</v>
      </c>
      <c r="B22" s="7" t="n">
        <v>520</v>
      </c>
      <c r="C22" s="7" t="n">
        <v>260</v>
      </c>
      <c r="D22" s="7" t="n">
        <v>10</v>
      </c>
      <c r="E22" s="7" t="n">
        <v>15</v>
      </c>
      <c r="S22" s="7" t="n">
        <v>60</v>
      </c>
    </row>
    <row r="23" customFormat="false" ht="15" hidden="false" customHeight="false" outlineLevel="0" collapsed="false">
      <c r="A23" s="7" t="s">
        <v>441</v>
      </c>
      <c r="B23" s="7" t="n">
        <v>540</v>
      </c>
      <c r="C23" s="7" t="n">
        <v>270</v>
      </c>
      <c r="D23" s="7" t="n">
        <v>10</v>
      </c>
      <c r="E23" s="7" t="n">
        <v>15</v>
      </c>
      <c r="S23" s="7" t="n">
        <v>65</v>
      </c>
    </row>
    <row r="24" customFormat="false" ht="15" hidden="false" customHeight="false" outlineLevel="0" collapsed="false">
      <c r="A24" s="7" t="s">
        <v>442</v>
      </c>
      <c r="B24" s="7" t="n">
        <v>203</v>
      </c>
      <c r="C24" s="7" t="n">
        <v>203</v>
      </c>
      <c r="D24" s="7" t="n">
        <v>7.2</v>
      </c>
      <c r="E24" s="7" t="n">
        <v>11</v>
      </c>
      <c r="S24" s="7" t="n">
        <v>70</v>
      </c>
    </row>
    <row r="25" customFormat="false" ht="15" hidden="false" customHeight="false" outlineLevel="0" collapsed="false">
      <c r="A25" s="7" t="s">
        <v>443</v>
      </c>
      <c r="B25" s="7" t="n">
        <v>247</v>
      </c>
      <c r="C25" s="7" t="n">
        <v>202</v>
      </c>
      <c r="D25" s="7" t="n">
        <v>7.4</v>
      </c>
      <c r="E25" s="7" t="n">
        <v>11</v>
      </c>
      <c r="S25" s="7" t="n">
        <v>75</v>
      </c>
    </row>
    <row r="26" customFormat="false" ht="15" hidden="false" customHeight="false" outlineLevel="0" collapsed="false">
      <c r="A26" s="7" t="s">
        <v>444</v>
      </c>
      <c r="B26" s="7" t="n">
        <v>254</v>
      </c>
      <c r="C26" s="7" t="n">
        <v>254</v>
      </c>
      <c r="D26" s="7" t="n">
        <v>8.6</v>
      </c>
      <c r="E26" s="7" t="n">
        <v>14.2</v>
      </c>
      <c r="S26" s="7" t="n">
        <v>80</v>
      </c>
    </row>
    <row r="27" customFormat="false" ht="15" hidden="false" customHeight="false" outlineLevel="0" collapsed="false">
      <c r="A27" s="7" t="s">
        <v>445</v>
      </c>
      <c r="B27" s="7" t="n">
        <v>303</v>
      </c>
      <c r="C27" s="7" t="n">
        <v>203</v>
      </c>
      <c r="D27" s="7" t="n">
        <v>7.5</v>
      </c>
      <c r="E27" s="7" t="n">
        <v>13.1</v>
      </c>
    </row>
    <row r="28" customFormat="false" ht="15" hidden="false" customHeight="false" outlineLevel="0" collapsed="false">
      <c r="A28" s="7" t="s">
        <v>446</v>
      </c>
      <c r="B28" s="7" t="n">
        <v>306</v>
      </c>
      <c r="C28" s="7" t="n">
        <v>254</v>
      </c>
      <c r="D28" s="7" t="n">
        <v>8.8</v>
      </c>
      <c r="E28" s="7" t="n">
        <v>14.6</v>
      </c>
    </row>
    <row r="29" customFormat="false" ht="15" hidden="false" customHeight="false" outlineLevel="0" collapsed="false">
      <c r="A29" s="7" t="s">
        <v>447</v>
      </c>
      <c r="B29" s="7" t="n">
        <v>308</v>
      </c>
      <c r="C29" s="7" t="n">
        <v>305</v>
      </c>
      <c r="D29" s="7" t="n">
        <v>9.9</v>
      </c>
      <c r="E29" s="7" t="n">
        <v>15.4</v>
      </c>
    </row>
    <row r="30" customFormat="false" ht="15" hidden="false" customHeight="false" outlineLevel="0" collapsed="false">
      <c r="A30" s="7" t="s">
        <v>448</v>
      </c>
      <c r="B30" s="7" t="n">
        <v>351</v>
      </c>
      <c r="C30" s="7" t="n">
        <v>204</v>
      </c>
      <c r="D30" s="7" t="n">
        <v>8.6</v>
      </c>
      <c r="E30" s="7" t="n">
        <v>15.1</v>
      </c>
    </row>
    <row r="31" customFormat="false" ht="15" hidden="false" customHeight="false" outlineLevel="0" collapsed="false">
      <c r="A31" s="7" t="s">
        <v>449</v>
      </c>
      <c r="B31" s="7" t="n">
        <v>357</v>
      </c>
      <c r="C31" s="7" t="n">
        <v>255</v>
      </c>
      <c r="D31" s="7" t="n">
        <v>10.5</v>
      </c>
      <c r="E31" s="7" t="n">
        <v>18.3</v>
      </c>
    </row>
    <row r="32" customFormat="false" ht="15" hidden="false" customHeight="false" outlineLevel="0" collapsed="false">
      <c r="A32" s="7" t="s">
        <v>450</v>
      </c>
      <c r="B32" s="7" t="n">
        <v>356</v>
      </c>
      <c r="C32" s="7" t="n">
        <v>368</v>
      </c>
      <c r="D32" s="7" t="n">
        <v>11.2</v>
      </c>
      <c r="E32" s="7" t="n">
        <v>18</v>
      </c>
    </row>
    <row r="33" customFormat="false" ht="15" hidden="false" customHeight="false" outlineLevel="0" collapsed="false">
      <c r="A33" s="7" t="s">
        <v>451</v>
      </c>
      <c r="B33" s="7" t="n">
        <v>417</v>
      </c>
      <c r="C33" s="7" t="n">
        <v>181</v>
      </c>
      <c r="D33" s="7" t="n">
        <v>10.9</v>
      </c>
      <c r="E33" s="7" t="n">
        <v>18.2</v>
      </c>
    </row>
    <row r="34" customFormat="false" ht="15" hidden="false" customHeight="false" outlineLevel="0" collapsed="false">
      <c r="A34" s="7" t="s">
        <v>452</v>
      </c>
      <c r="B34" s="7" t="n">
        <v>455</v>
      </c>
      <c r="C34" s="7" t="n">
        <v>191</v>
      </c>
      <c r="D34" s="7" t="n">
        <v>11.4</v>
      </c>
      <c r="E34" s="7" t="n">
        <v>17.3</v>
      </c>
    </row>
    <row r="35" customFormat="false" ht="15" hidden="false" customHeight="false" outlineLevel="0" collapsed="false">
      <c r="A35" s="7" t="s">
        <v>453</v>
      </c>
      <c r="B35" s="7" t="n">
        <v>608</v>
      </c>
      <c r="C35" s="7" t="n">
        <v>228</v>
      </c>
      <c r="D35" s="7" t="n">
        <v>11.2</v>
      </c>
      <c r="E35" s="7" t="n">
        <v>17.3</v>
      </c>
    </row>
    <row r="40" customFormat="false" ht="15" hidden="false" customHeight="false" outlineLevel="0" collapsed="false">
      <c r="A40" s="3" t="s">
        <v>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8" t="s">
        <v>455</v>
      </c>
    </row>
    <row r="2" customFormat="false" ht="15" hidden="false" customHeight="false" outlineLevel="0" collapsed="false">
      <c r="D2" s="59" t="s">
        <v>456</v>
      </c>
      <c r="G2" s="59" t="s">
        <v>457</v>
      </c>
      <c r="J2" s="59" t="s">
        <v>458</v>
      </c>
      <c r="M2" s="59" t="s">
        <v>459</v>
      </c>
      <c r="P2" s="59" t="s">
        <v>460</v>
      </c>
      <c r="S2" s="59" t="s">
        <v>456</v>
      </c>
      <c r="V2" s="59" t="s">
        <v>461</v>
      </c>
      <c r="Y2" s="59" t="s">
        <v>457</v>
      </c>
      <c r="AB2" s="59" t="s">
        <v>458</v>
      </c>
      <c r="AE2" s="59" t="s">
        <v>462</v>
      </c>
      <c r="AH2" s="59" t="s">
        <v>463</v>
      </c>
      <c r="AK2" s="59" t="s">
        <v>464</v>
      </c>
      <c r="AN2" s="59" t="s">
        <v>465</v>
      </c>
      <c r="AQ2" s="59" t="s">
        <v>466</v>
      </c>
    </row>
    <row r="3" customFormat="false" ht="15" hidden="false" customHeight="false" outlineLevel="0" collapsed="false">
      <c r="A3" s="0" t="s">
        <v>467</v>
      </c>
      <c r="B3" s="0" t="n">
        <f aca="false">MAX(ped_Np,ped_Bp,p_N,p_B)/2*1.08</f>
        <v>48.6</v>
      </c>
      <c r="D3" s="0" t="s">
        <v>228</v>
      </c>
      <c r="E3" s="0" t="s">
        <v>468</v>
      </c>
      <c r="G3" s="0" t="s">
        <v>228</v>
      </c>
      <c r="H3" s="0" t="s">
        <v>468</v>
      </c>
      <c r="J3" s="0" t="s">
        <v>228</v>
      </c>
      <c r="K3" s="0" t="s">
        <v>468</v>
      </c>
      <c r="M3" s="0" t="s">
        <v>228</v>
      </c>
      <c r="N3" s="0" t="s">
        <v>468</v>
      </c>
      <c r="P3" s="0" t="s">
        <v>228</v>
      </c>
      <c r="Q3" s="0" t="s">
        <v>468</v>
      </c>
      <c r="S3" s="0" t="s">
        <v>228</v>
      </c>
      <c r="T3" s="0" t="s">
        <v>468</v>
      </c>
      <c r="V3" s="0" t="s">
        <v>228</v>
      </c>
      <c r="W3" s="0" t="s">
        <v>468</v>
      </c>
      <c r="Y3" s="0" t="s">
        <v>228</v>
      </c>
      <c r="Z3" s="0" t="s">
        <v>468</v>
      </c>
      <c r="AB3" s="0" t="s">
        <v>228</v>
      </c>
      <c r="AC3" s="0" t="s">
        <v>468</v>
      </c>
      <c r="AE3" s="0" t="s">
        <v>228</v>
      </c>
      <c r="AF3" s="0" t="s">
        <v>468</v>
      </c>
      <c r="AH3" s="0" t="s">
        <v>228</v>
      </c>
      <c r="AI3" s="0" t="s">
        <v>468</v>
      </c>
      <c r="AK3" s="0" t="s">
        <v>228</v>
      </c>
      <c r="AL3" s="0" t="s">
        <v>468</v>
      </c>
      <c r="AN3" s="0" t="s">
        <v>228</v>
      </c>
      <c r="AO3" s="0" t="s">
        <v>468</v>
      </c>
      <c r="AQ3" s="0" t="s">
        <v>228</v>
      </c>
      <c r="AR3" s="0" t="s">
        <v>468</v>
      </c>
    </row>
    <row r="4" customFormat="false" ht="15" hidden="false" customHeight="false" outlineLevel="0" collapsed="false">
      <c r="A4" s="0" t="s">
        <v>469</v>
      </c>
      <c r="B4" s="0" t="n">
        <f aca="false">-(g_hef+10)</f>
        <v>-60</v>
      </c>
      <c r="D4" s="0" t="n">
        <f aca="false">(-ped_Np/2)/dS</f>
        <v>-0.925925925925926</v>
      </c>
      <c r="E4" s="0" t="n">
        <f aca="false">(-ped_Bp/2)/dS</f>
        <v>-0.823045267489712</v>
      </c>
      <c r="G4" s="0" t="n">
        <f aca="false">(-p_N/2)/dS</f>
        <v>-0.617283950617284</v>
      </c>
      <c r="H4" s="0" t="n">
        <f aca="false">(-p_B/2)/dS</f>
        <v>-0.411522633744856</v>
      </c>
      <c r="J4" s="0" t="n">
        <f aca="false">(-c_d/2)/dS</f>
        <v>-0.37037037037037</v>
      </c>
      <c r="K4" s="0" t="n">
        <f aca="false">(-c_bf/2)/dS</f>
        <v>-0.185185185185185</v>
      </c>
      <c r="M4" s="0" t="n">
        <f aca="false">(-g_f)/dS</f>
        <v>-0.51440329218107</v>
      </c>
      <c r="N4" s="0" t="n">
        <f aca="false">(IF(1&lt;=a_nf,-g_xb+(1-1)*2*g_xb/MAX(a_nf-1,1),-g_xb))/dS</f>
        <v>-0.308641975308642</v>
      </c>
      <c r="P4" s="0" t="n">
        <f aca="false">(g_f)/dS</f>
        <v>0.51440329218107</v>
      </c>
      <c r="Q4" s="0" t="n">
        <f aca="false">(IF(1&lt;=a_nf,-g_xb+(1-1)*2*g_xb/MAX(a_nf-1,1),-g_xb))/dS</f>
        <v>-0.308641975308642</v>
      </c>
      <c r="S4" s="0" t="n">
        <f aca="false">(-ped_Np/2)/dSe</f>
        <v>-0.925925925925926</v>
      </c>
      <c r="T4" s="0" t="n">
        <f aca="false">((dzmin)-dzc)/dSe</f>
        <v>-0.901234567901235</v>
      </c>
      <c r="V4" s="0" t="n">
        <f aca="false">(-p_N/2-p_g)/dSe</f>
        <v>-0.668724279835391</v>
      </c>
      <c r="W4" s="0" t="n">
        <f aca="false">((0)-dzc)/dSe</f>
        <v>0.333333333333333</v>
      </c>
      <c r="Y4" s="0" t="n">
        <f aca="false">(-p_N/2)/dSe</f>
        <v>-0.617283950617284</v>
      </c>
      <c r="Z4" s="0" t="n">
        <f aca="false">((p_g)-dzc)/dSe</f>
        <v>0.38477366255144</v>
      </c>
      <c r="AB4" s="0" t="n">
        <f aca="false">(-c_d/2)/dSe</f>
        <v>-0.37037037037037</v>
      </c>
      <c r="AC4" s="0" t="n">
        <f aca="false">((dzmax)-dzc)/dSe</f>
        <v>0.901234567901235</v>
      </c>
      <c r="AE4" s="0" t="n">
        <f aca="false">(-c_d/2+c_tf)/dSe</f>
        <v>-0.345679012345679</v>
      </c>
      <c r="AF4" s="0" t="n">
        <f aca="false">(((p_g+p_tp))-dzc)/dSe</f>
        <v>0.45679012345679</v>
      </c>
      <c r="AH4" s="0" t="n">
        <f aca="false">(c_d/2-c_tf)/dSe</f>
        <v>0.345679012345679</v>
      </c>
      <c r="AI4" s="0" t="n">
        <f aca="false">(((p_g+p_tp))-dzc)/dSe</f>
        <v>0.45679012345679</v>
      </c>
      <c r="AK4" s="0" t="n">
        <f aca="false">(-g_f)/dSe</f>
        <v>-0.51440329218107</v>
      </c>
      <c r="AL4" s="0" t="n">
        <f aca="false">(((p_g+p_tp)+4)-dzc)/dSe</f>
        <v>0.539094650205761</v>
      </c>
      <c r="AN4" s="0" t="n">
        <f aca="false">(g_f)/dSe</f>
        <v>0.51440329218107</v>
      </c>
      <c r="AO4" s="0" t="n">
        <f aca="false">(((p_g+p_tp)+4)-dzc)/dSe</f>
        <v>0.539094650205761</v>
      </c>
      <c r="AQ4" s="0" t="n">
        <f aca="false">(-g_f)/dSe</f>
        <v>-0.51440329218107</v>
      </c>
      <c r="AR4" s="0" t="n">
        <f aca="false">((-g_hef)-dzc)/dSe</f>
        <v>-0.695473251028807</v>
      </c>
    </row>
    <row r="5" customFormat="false" ht="15" hidden="false" customHeight="false" outlineLevel="0" collapsed="false">
      <c r="A5" s="0" t="s">
        <v>470</v>
      </c>
      <c r="B5" s="0" t="n">
        <f aca="false">p_g+p_tp+MAX(0.6*c_d,15)</f>
        <v>27.6</v>
      </c>
      <c r="D5" s="0" t="n">
        <f aca="false">(-ped_Np/2)/dS</f>
        <v>-0.925925925925926</v>
      </c>
      <c r="E5" s="0" t="n">
        <f aca="false">(ped_Bp/2)/dS</f>
        <v>0.823045267489712</v>
      </c>
      <c r="G5" s="0" t="n">
        <f aca="false">(-p_N/2)/dS</f>
        <v>-0.617283950617284</v>
      </c>
      <c r="H5" s="0" t="n">
        <f aca="false">(p_B/2)/dS</f>
        <v>0.411522633744856</v>
      </c>
      <c r="J5" s="0" t="n">
        <f aca="false">(-c_d/2)/dS</f>
        <v>-0.37037037037037</v>
      </c>
      <c r="K5" s="0" t="n">
        <f aca="false">(c_bf/2)/dS</f>
        <v>0.185185185185185</v>
      </c>
      <c r="M5" s="0" t="n">
        <f aca="false">(-g_f)/dS</f>
        <v>-0.51440329218107</v>
      </c>
      <c r="N5" s="0" t="n">
        <f aca="false">(IF(2&lt;=a_nf,-g_xb+(2-1)*2*g_xb/MAX(a_nf-1,1),-g_xb))/dS</f>
        <v>0.308641975308642</v>
      </c>
      <c r="P5" s="0" t="n">
        <f aca="false">(g_f)/dS</f>
        <v>0.51440329218107</v>
      </c>
      <c r="Q5" s="0" t="n">
        <f aca="false">(IF(2&lt;=a_nf,-g_xb+(2-1)*2*g_xb/MAX(a_nf-1,1),-g_xb))/dS</f>
        <v>0.308641975308642</v>
      </c>
      <c r="S5" s="0" t="n">
        <f aca="false">(-ped_Np/2)/dSe</f>
        <v>-0.925925925925926</v>
      </c>
      <c r="T5" s="0" t="n">
        <f aca="false">((0)-dzc)/dSe</f>
        <v>0.333333333333333</v>
      </c>
      <c r="V5" s="0" t="n">
        <f aca="false">(-p_N/2)/dSe</f>
        <v>-0.617283950617284</v>
      </c>
      <c r="W5" s="0" t="n">
        <f aca="false">((p_g)-dzc)/dSe</f>
        <v>0.38477366255144</v>
      </c>
      <c r="Y5" s="0" t="n">
        <f aca="false">(-p_N/2)/dSe</f>
        <v>-0.617283950617284</v>
      </c>
      <c r="Z5" s="0" t="n">
        <f aca="false">(((p_g+p_tp))-dzc)/dSe</f>
        <v>0.45679012345679</v>
      </c>
      <c r="AB5" s="0" t="n">
        <f aca="false">(-c_d/2)/dSe</f>
        <v>-0.37037037037037</v>
      </c>
      <c r="AC5" s="0" t="n">
        <f aca="false">(((p_g+p_tp))-dzc)/dSe</f>
        <v>0.45679012345679</v>
      </c>
      <c r="AE5" s="0" t="n">
        <f aca="false">(-c_d/2+c_tf)/dSe</f>
        <v>-0.345679012345679</v>
      </c>
      <c r="AF5" s="0" t="n">
        <f aca="false">((dzmax)-dzc)/dSe</f>
        <v>0.901234567901235</v>
      </c>
      <c r="AH5" s="0" t="n">
        <f aca="false">(c_d/2-c_tf)/dSe</f>
        <v>0.345679012345679</v>
      </c>
      <c r="AI5" s="0" t="n">
        <f aca="false">((dzmax)-dzc)/dSe</f>
        <v>0.901234567901235</v>
      </c>
      <c r="AK5" s="0" t="n">
        <f aca="false">(-g_f)/dSe</f>
        <v>-0.51440329218107</v>
      </c>
      <c r="AL5" s="0" t="n">
        <f aca="false">((-g_hef)-dzc)/dSe</f>
        <v>-0.695473251028807</v>
      </c>
      <c r="AN5" s="0" t="n">
        <f aca="false">(g_f)/dSe</f>
        <v>0.51440329218107</v>
      </c>
      <c r="AO5" s="0" t="n">
        <f aca="false">((-g_hef)-dzc)/dSe</f>
        <v>-0.695473251028807</v>
      </c>
      <c r="AQ5" s="0" t="n">
        <f aca="false">(g_f)/dSe</f>
        <v>0.51440329218107</v>
      </c>
      <c r="AR5" s="0" t="n">
        <f aca="false">((-g_hef)-dzc)/dSe</f>
        <v>-0.695473251028807</v>
      </c>
    </row>
    <row r="6" customFormat="false" ht="15" hidden="false" customHeight="false" outlineLevel="0" collapsed="false">
      <c r="A6" s="0" t="s">
        <v>471</v>
      </c>
      <c r="B6" s="0" t="n">
        <f aca="false">MAX(ped_Np,p_N+2*p_g,dzmax-dzmin)/2*1.08</f>
        <v>48.6</v>
      </c>
      <c r="D6" s="0" t="n">
        <f aca="false">(ped_Np/2)/dS</f>
        <v>0.925925925925926</v>
      </c>
      <c r="E6" s="0" t="n">
        <f aca="false">(ped_Bp/2)/dS</f>
        <v>0.823045267489712</v>
      </c>
      <c r="G6" s="0" t="n">
        <f aca="false">(p_N/2)/dS</f>
        <v>0.617283950617284</v>
      </c>
      <c r="H6" s="0" t="n">
        <f aca="false">(p_B/2)/dS</f>
        <v>0.411522633744856</v>
      </c>
      <c r="J6" s="0" t="n">
        <f aca="false">(-c_d/2+c_tf)/dS</f>
        <v>-0.345679012345679</v>
      </c>
      <c r="K6" s="0" t="n">
        <f aca="false">(c_bf/2)/dS</f>
        <v>0.185185185185185</v>
      </c>
      <c r="M6" s="0" t="n">
        <f aca="false">(-g_f)/dS</f>
        <v>-0.51440329218107</v>
      </c>
      <c r="N6" s="0" t="n">
        <f aca="false">(IF(3&lt;=a_nf,-g_xb+(3-1)*2*g_xb/MAX(a_nf-1,1),-g_xb))/dS</f>
        <v>-0.308641975308642</v>
      </c>
      <c r="P6" s="0" t="n">
        <f aca="false">(g_f)/dS</f>
        <v>0.51440329218107</v>
      </c>
      <c r="Q6" s="0" t="n">
        <f aca="false">(IF(3&lt;=a_nf,-g_xb+(3-1)*2*g_xb/MAX(a_nf-1,1),-g_xb))/dS</f>
        <v>-0.308641975308642</v>
      </c>
      <c r="S6" s="0" t="n">
        <f aca="false">(ped_Np/2)/dSe</f>
        <v>0.925925925925926</v>
      </c>
      <c r="T6" s="0" t="n">
        <f aca="false">((0)-dzc)/dSe</f>
        <v>0.333333333333333</v>
      </c>
      <c r="V6" s="0" t="n">
        <f aca="false">(p_N/2)/dSe</f>
        <v>0.617283950617284</v>
      </c>
      <c r="W6" s="0" t="n">
        <f aca="false">((p_g)-dzc)/dSe</f>
        <v>0.38477366255144</v>
      </c>
      <c r="Y6" s="0" t="n">
        <f aca="false">(p_N/2)/dSe</f>
        <v>0.617283950617284</v>
      </c>
      <c r="Z6" s="0" t="n">
        <f aca="false">(((p_g+p_tp))-dzc)/dSe</f>
        <v>0.45679012345679</v>
      </c>
      <c r="AB6" s="0" t="n">
        <f aca="false">(c_d/2)/dSe</f>
        <v>0.37037037037037</v>
      </c>
      <c r="AC6" s="0" t="n">
        <f aca="false">(((p_g+p_tp))-dzc)/dSe</f>
        <v>0.45679012345679</v>
      </c>
      <c r="AQ6" s="0" t="n">
        <f aca="false">(-g_f)/dSe</f>
        <v>-0.51440329218107</v>
      </c>
      <c r="AR6" s="0" t="n">
        <f aca="false">(((p_g+p_tp)+1)-dzc)/dSe</f>
        <v>0.477366255144033</v>
      </c>
    </row>
    <row r="7" customFormat="false" ht="15" hidden="false" customHeight="false" outlineLevel="0" collapsed="false">
      <c r="A7" s="0" t="s">
        <v>472</v>
      </c>
      <c r="B7" s="0" t="n">
        <f aca="false">(dzmax+dzmin)/2</f>
        <v>-16.2</v>
      </c>
      <c r="D7" s="0" t="n">
        <f aca="false">(ped_Np/2)/dS</f>
        <v>0.925925925925926</v>
      </c>
      <c r="E7" s="0" t="n">
        <f aca="false">(-ped_Bp/2)/dS</f>
        <v>-0.823045267489712</v>
      </c>
      <c r="G7" s="0" t="n">
        <f aca="false">(p_N/2)/dS</f>
        <v>0.617283950617284</v>
      </c>
      <c r="H7" s="0" t="n">
        <f aca="false">(-p_B/2)/dS</f>
        <v>-0.411522633744856</v>
      </c>
      <c r="J7" s="0" t="n">
        <f aca="false">(-c_d/2+c_tf)/dS</f>
        <v>-0.345679012345679</v>
      </c>
      <c r="K7" s="0" t="n">
        <f aca="false">(c_tw/2)/dS</f>
        <v>0.00617283950617284</v>
      </c>
      <c r="M7" s="0" t="n">
        <f aca="false">(-g_f)/dS</f>
        <v>-0.51440329218107</v>
      </c>
      <c r="N7" s="0" t="n">
        <f aca="false">(IF(4&lt;=a_nf,-g_xb+(4-1)*2*g_xb/MAX(a_nf-1,1),-g_xb))/dS</f>
        <v>-0.308641975308642</v>
      </c>
      <c r="P7" s="0" t="n">
        <f aca="false">(g_f)/dS</f>
        <v>0.51440329218107</v>
      </c>
      <c r="Q7" s="0" t="n">
        <f aca="false">(IF(4&lt;=a_nf,-g_xb+(4-1)*2*g_xb/MAX(a_nf-1,1),-g_xb))/dS</f>
        <v>-0.308641975308642</v>
      </c>
      <c r="S7" s="0" t="n">
        <f aca="false">(ped_Np/2)/dSe</f>
        <v>0.925925925925926</v>
      </c>
      <c r="T7" s="0" t="n">
        <f aca="false">((dzmin)-dzc)/dSe</f>
        <v>-0.901234567901235</v>
      </c>
      <c r="V7" s="0" t="n">
        <f aca="false">(p_N/2+p_g)/dSe</f>
        <v>0.668724279835391</v>
      </c>
      <c r="W7" s="0" t="n">
        <f aca="false">((0)-dzc)/dSe</f>
        <v>0.333333333333333</v>
      </c>
      <c r="Y7" s="0" t="n">
        <f aca="false">(p_N/2)/dSe</f>
        <v>0.617283950617284</v>
      </c>
      <c r="Z7" s="0" t="n">
        <f aca="false">((p_g)-dzc)/dSe</f>
        <v>0.38477366255144</v>
      </c>
      <c r="AB7" s="0" t="n">
        <f aca="false">(c_d/2)/dSe</f>
        <v>0.37037037037037</v>
      </c>
      <c r="AC7" s="0" t="n">
        <f aca="false">((dzmax)-dzc)/dSe</f>
        <v>0.901234567901235</v>
      </c>
      <c r="AQ7" s="0" t="n">
        <f aca="false">(g_f)/dSe</f>
        <v>0.51440329218107</v>
      </c>
      <c r="AR7" s="0" t="n">
        <f aca="false">(((p_g+p_tp)+1)-dzc)/dSe</f>
        <v>0.477366255144033</v>
      </c>
    </row>
    <row r="8" customFormat="false" ht="15" hidden="false" customHeight="false" outlineLevel="0" collapsed="false">
      <c r="D8" s="0" t="n">
        <f aca="false">(-ped_Np/2)/dS</f>
        <v>-0.925925925925926</v>
      </c>
      <c r="E8" s="0" t="n">
        <f aca="false">(-ped_Bp/2)/dS</f>
        <v>-0.823045267489712</v>
      </c>
      <c r="G8" s="0" t="n">
        <f aca="false">(-p_N/2)/dS</f>
        <v>-0.617283950617284</v>
      </c>
      <c r="H8" s="0" t="n">
        <f aca="false">(-p_B/2)/dS</f>
        <v>-0.411522633744856</v>
      </c>
      <c r="J8" s="0" t="n">
        <f aca="false">(c_d/2-c_tf)/dS</f>
        <v>0.345679012345679</v>
      </c>
      <c r="K8" s="0" t="n">
        <f aca="false">(c_tw/2)/dS</f>
        <v>0.00617283950617284</v>
      </c>
      <c r="Y8" s="0" t="n">
        <f aca="false">(-p_N/2)/dSe</f>
        <v>-0.617283950617284</v>
      </c>
      <c r="Z8" s="0" t="n">
        <f aca="false">((p_g)-dzc)/dSe</f>
        <v>0.38477366255144</v>
      </c>
    </row>
    <row r="9" customFormat="false" ht="15" hidden="false" customHeight="false" outlineLevel="0" collapsed="false">
      <c r="J9" s="0" t="n">
        <f aca="false">(c_d/2-c_tf)/dS</f>
        <v>0.345679012345679</v>
      </c>
      <c r="K9" s="0" t="n">
        <f aca="false">(c_bf/2)/dS</f>
        <v>0.185185185185185</v>
      </c>
    </row>
    <row r="10" customFormat="false" ht="15" hidden="false" customHeight="false" outlineLevel="0" collapsed="false">
      <c r="J10" s="0" t="n">
        <f aca="false">(c_d/2)/dS</f>
        <v>0.37037037037037</v>
      </c>
      <c r="K10" s="0" t="n">
        <f aca="false">(c_bf/2)/dS</f>
        <v>0.185185185185185</v>
      </c>
    </row>
    <row r="11" customFormat="false" ht="15" hidden="false" customHeight="false" outlineLevel="0" collapsed="false">
      <c r="J11" s="0" t="n">
        <f aca="false">(c_d/2)/dS</f>
        <v>0.37037037037037</v>
      </c>
      <c r="K11" s="0" t="n">
        <f aca="false">(-c_bf/2)/dS</f>
        <v>-0.185185185185185</v>
      </c>
    </row>
    <row r="12" customFormat="false" ht="15" hidden="false" customHeight="false" outlineLevel="0" collapsed="false">
      <c r="J12" s="0" t="n">
        <f aca="false">(c_d/2-c_tf)/dS</f>
        <v>0.345679012345679</v>
      </c>
      <c r="K12" s="0" t="n">
        <f aca="false">(-c_bf/2)/dS</f>
        <v>-0.185185185185185</v>
      </c>
    </row>
    <row r="13" customFormat="false" ht="15" hidden="false" customHeight="false" outlineLevel="0" collapsed="false">
      <c r="J13" s="0" t="n">
        <f aca="false">(c_d/2-c_tf)/dS</f>
        <v>0.345679012345679</v>
      </c>
      <c r="K13" s="0" t="n">
        <f aca="false">(-c_tw/2)/dS</f>
        <v>-0.00617283950617284</v>
      </c>
    </row>
    <row r="14" customFormat="false" ht="15" hidden="false" customHeight="false" outlineLevel="0" collapsed="false">
      <c r="J14" s="0" t="n">
        <f aca="false">(-c_d/2+c_tf)/dS</f>
        <v>-0.345679012345679</v>
      </c>
      <c r="K14" s="0" t="n">
        <f aca="false">(-c_tw/2)/dS</f>
        <v>-0.00617283950617284</v>
      </c>
    </row>
    <row r="15" customFormat="false" ht="15" hidden="false" customHeight="false" outlineLevel="0" collapsed="false">
      <c r="J15" s="0" t="n">
        <f aca="false">(-c_d/2+c_tf)/dS</f>
        <v>-0.345679012345679</v>
      </c>
      <c r="K15" s="0" t="n">
        <f aca="false">(-c_bf/2)/dS</f>
        <v>-0.185185185185185</v>
      </c>
    </row>
    <row r="16" customFormat="false" ht="15" hidden="false" customHeight="false" outlineLevel="0" collapsed="false">
      <c r="J16" s="0" t="n">
        <f aca="false">(-c_d/2)/dS</f>
        <v>-0.37037037037037</v>
      </c>
      <c r="K16" s="0" t="n">
        <f aca="false">(-c_bf/2)/dS</f>
        <v>-0.185185185185185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2026-09-26T04:52:43Z</dcterms:created>
  <dc:creator>openpyxl</dc:creator>
  <dc:description/>
  <dc:language>en-US</dc:language>
  <cp:lastModifiedBy/>
  <dcterms:modified xsi:type="dcterms:W3CDTF">2026-09-26T04:52:45Z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