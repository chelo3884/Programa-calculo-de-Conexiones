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DISEÑO!$A$1:$U$58</definedName>
    <definedName function="false" hidden="false" name="a_Ab" vbProcedure="false">CALCULO!$D$36</definedName>
    <definedName function="false" hidden="false" name="a_db" vbProcedure="false">CALCULO!$D$35</definedName>
    <definedName function="false" hidden="false" name="a_dbi" vbProcedure="false">CALCULO!$D$34</definedName>
    <definedName function="false" hidden="false" name="a_dh" vbProcedure="false">CALCULO!$D$37</definedName>
    <definedName function="false" hidden="false" name="a_emin" vbProcedure="false">CALCULO!$D$38</definedName>
    <definedName function="false" hidden="false" name="a_Pt" vbProcedure="false">CALCULO!$D$39</definedName>
    <definedName function="false" hidden="false" name="b_bf" vbProcedure="false">CALCULO!$D$10</definedName>
    <definedName function="false" hidden="false" name="b_d" vbProcedure="false">CALCULO!$D$9</definedName>
    <definedName function="false" hidden="false" name="b_dp" vbProcedure="false">CALCULO!$D$13</definedName>
    <definedName function="false" hidden="false" name="b_tf" vbProcedure="false">CALCULO!$D$12</definedName>
    <definedName function="false" hidden="false" name="b_tfp" vbProcedure="false">CALCULO!$D$14</definedName>
    <definedName function="false" hidden="false" name="b_tw" vbProcedure="false">CALCULO!$D$11</definedName>
    <definedName function="false" hidden="false" name="cb_M" vbProcedure="false">DISEÑO!$H$23:$H$32</definedName>
    <definedName function="false" hidden="false" name="cb_nom" vbProcedure="false">DISEÑO!$G$23:$G$32</definedName>
    <definedName function="false" hidden="false" name="cb_P" vbProcedure="false">DISEÑO!$J$23:$J$32</definedName>
    <definedName function="false" hidden="false" name="cb_V" vbProcedure="false">DISEÑO!$I$23:$I$32</definedName>
    <definedName function="false" hidden="false" name="cfg_d" vbProcedure="false">DISEÑO!$C$13</definedName>
    <definedName function="false" hidden="false" name="cfg_u" vbProcedure="false">DISEÑO!$C$12</definedName>
    <definedName function="false" hidden="false" name="co_acero" vbProcedure="false">DISEÑO!$C$32</definedName>
    <definedName function="false" hidden="false" name="co_bf_mm" vbProcedure="false">DISEÑO!$C$29</definedName>
    <definedName function="false" hidden="false" name="co_dtop" vbProcedure="false">DISEÑO!$C$35</definedName>
    <definedName function="false" hidden="false" name="co_d_mm" vbProcedure="false">DISEÑO!$C$28</definedName>
    <definedName function="false" hidden="false" name="co_Fu" vbProcedure="false">DISEÑO!$E$33</definedName>
    <definedName function="false" hidden="false" name="co_Fy" vbProcedure="false">DISEÑO!$C$33</definedName>
    <definedName function="false" hidden="false" name="co_kw" vbProcedure="false">DISEÑO!$C$34</definedName>
    <definedName function="false" hidden="false" name="co_perfil" vbProcedure="false">DISEÑO!$C$27</definedName>
    <definedName function="false" hidden="false" name="co_tf_mm" vbProcedure="false">DISEÑO!$C$31</definedName>
    <definedName function="false" hidden="false" name="co_tw_mm" vbProcedure="false">DISEÑO!$C$30</definedName>
    <definedName function="false" hidden="false" name="cp_b" vbProcedure="false">DISEÑO!$C$39</definedName>
    <definedName function="false" hidden="false" name="cp_t" vbProcedure="false">DISEÑO!$C$38</definedName>
    <definedName function="false" hidden="false" name="cp_usar" vbProcedure="false">DISEÑO!$C$37</definedName>
    <definedName function="false" hidden="false" name="c_A" vbProcedure="false">CALCULO!$D$19</definedName>
    <definedName function="false" hidden="false" name="c_bf" vbProcedure="false">CALCULO!$D$16</definedName>
    <definedName function="false" hidden="false" name="c_d" vbProcedure="false">CALCULO!$D$15</definedName>
    <definedName function="false" hidden="false" name="c_k" vbProcedure="false">CALCULO!$D$20</definedName>
    <definedName function="false" hidden="false" name="c_tf" vbProcedure="false">CALCULO!$D$18</definedName>
    <definedName function="false" hidden="false" name="c_tw" vbProcedure="false">CALCULO!$D$17</definedName>
    <definedName function="false" hidden="false" name="dd2" vbProcedure="false">DIBUJO!$B$17</definedName>
    <definedName function="false" hidden="false" name="dEd" vbProcedure="false">DIBUJO!$B$4</definedName>
    <definedName function="false" hidden="false" name="det_k" vbProcedure="false">DISEÑO!$K$36</definedName>
    <definedName function="false" hidden="false" name="dEu" vbProcedure="false">DIBUJO!$B$3</definedName>
    <definedName function="false" hidden="false" name="dLh" vbProcedure="false">DIBUJO!$B$18</definedName>
    <definedName function="false" hidden="false" name="dLr" vbProcedure="false">DIBUJO!$B$9</definedName>
    <definedName function="false" hidden="false" name="dp_t" vbProcedure="false">DISEÑO!$C$40</definedName>
    <definedName function="false" hidden="false" name="dSf" vbProcedure="false">DIBUJO!$B$7</definedName>
    <definedName function="false" hidden="false" name="dsg" vbProcedure="false">DIBUJO!$B$13</definedName>
    <definedName function="false" hidden="false" name="dSl" vbProcedure="false">DIBUJO!$B$15</definedName>
    <definedName function="false" hidden="false" name="dT" vbProcedure="false">DIBUJO!$B$10</definedName>
    <definedName function="false" hidden="false" name="dx0" vbProcedure="false">DIBUJO!$B$11</definedName>
    <definedName function="false" hidden="false" name="dx1" vbProcedure="false">DIBUJO!$B$12</definedName>
    <definedName function="false" hidden="false" name="dxc" vbProcedure="false">DIBUJO!$B$16</definedName>
    <definedName function="false" hidden="false" name="dYb" vbProcedure="false">DIBUJO!$B$6</definedName>
    <definedName function="false" hidden="false" name="dYc" vbProcedure="false">DIBUJO!$B$8</definedName>
    <definedName function="false" hidden="false" name="dym" vbProcedure="false">DIBUJO!$B$14</definedName>
    <definedName function="false" hidden="false" name="dYt" vbProcedure="false">DIBUJO!$B$5</definedName>
    <definedName function="false" hidden="false" name="h_i1" vbProcedure="false">CALCULO!$D$32</definedName>
    <definedName function="false" hidden="false" name="h_i2" vbProcedure="false">CALCULO!$D$33</definedName>
    <definedName function="false" hidden="false" name="h_out" vbProcedure="false">CALCULO!$D$31</definedName>
    <definedName function="false" hidden="false" name="k_cos" vbProcedure="false">CALCULO!$D$7</definedName>
    <definedName function="false" hidden="false" name="k_E" vbProcedure="false">CALCULO!$D$6</definedName>
    <definedName function="false" hidden="false" name="k_sin" vbProcedure="false">CALCULO!$D$8</definedName>
    <definedName function="false" hidden="false" name="lim_verde" vbProcedure="false">DISEÑO!$C$9</definedName>
    <definedName function="false" hidden="false" name="pl_acero" vbProcedure="false">DISEÑO!$C$42</definedName>
    <definedName function="false" hidden="false" name="pl_bp" vbProcedure="false">DISEÑO!$C$44</definedName>
    <definedName function="false" hidden="false" name="pl_de" vbProcedure="false">DISEÑO!$C$50</definedName>
    <definedName function="false" hidden="false" name="pl_Fu" vbProcedure="false">DISEÑO!$E$43</definedName>
    <definedName function="false" hidden="false" name="pl_Fy" vbProcedure="false">DISEÑO!$C$43</definedName>
    <definedName function="false" hidden="false" name="pl_g" vbProcedure="false">DISEÑO!$C$46</definedName>
    <definedName function="false" hidden="false" name="pl_pb" vbProcedure="false">DISEÑO!$C$49</definedName>
    <definedName function="false" hidden="false" name="pl_pfi" vbProcedure="false">DISEÑO!$C$48</definedName>
    <definedName function="false" hidden="false" name="pl_pfo" vbProcedure="false">DISEÑO!$C$47</definedName>
    <definedName function="false" hidden="false" name="pl_tp" vbProcedure="false">DISEÑO!$C$45</definedName>
    <definedName function="false" hidden="false" name="pn_diam" vbProcedure="false">DISEÑO!$C$54</definedName>
    <definedName function="false" hidden="false" name="pn_Fnt" vbProcedure="false">DISEÑO!$C$53</definedName>
    <definedName function="false" hidden="false" name="pn_Fnv" vbProcedure="false">DISEÑO!$E$53</definedName>
    <definedName function="false" hidden="false" name="pn_grado" vbProcedure="false">DISEÑO!$C$52</definedName>
    <definedName function="false" hidden="false" name="Pu_col" vbProcedure="false">DISEÑO!$C$36</definedName>
    <definedName function="false" hidden="false" name="p_bp" vbProcedure="false">CALCULO!$D$21</definedName>
    <definedName function="false" hidden="false" name="p_bpe" vbProcedure="false">CALCULO!$D$22</definedName>
    <definedName function="false" hidden="false" name="p_de" vbProcedure="false">CALCULO!$D$28</definedName>
    <definedName function="false" hidden="false" name="p_g" vbProcedure="false">CALCULO!$D$24</definedName>
    <definedName function="false" hidden="false" name="p_pb" vbProcedure="false">CALCULO!$D$27</definedName>
    <definedName function="false" hidden="false" name="p_pfe" vbProcedure="false">CALCULO!$D$30</definedName>
    <definedName function="false" hidden="false" name="p_pfi" vbProcedure="false">CALCULO!$D$26</definedName>
    <definedName function="false" hidden="false" name="p_pfo" vbProcedure="false">CALCULO!$D$25</definedName>
    <definedName function="false" hidden="false" name="p_s" vbProcedure="false">CALCULO!$D$29</definedName>
    <definedName function="false" hidden="false" name="p_tp" vbProcedure="false">CALCULO!$D$23</definedName>
    <definedName function="false" hidden="false" name="r_Py" vbProcedure="false">CALCULO!$D$90</definedName>
    <definedName function="false" hidden="false" name="r_Rbc" vbProcedure="false">CALCULO!$D$88</definedName>
    <definedName function="false" hidden="false" name="r_Rcp" vbProcedure="false">CALCULO!$D$89</definedName>
    <definedName function="false" hidden="false" name="r_Rpz" vbProcedure="false">CALCULO!$D$91</definedName>
    <definedName function="false" hidden="false" name="r_Rsr" vbProcedure="false">CALCULO!$D$83</definedName>
    <definedName function="false" hidden="false" name="r_Rsy" vbProcedure="false">CALCULO!$D$82</definedName>
    <definedName function="false" hidden="false" name="r_Rwf" vbProcedure="false">CALCULO!$D$84</definedName>
    <definedName function="false" hidden="false" name="r_Rwv" vbProcedure="false">CALCULO!$D$87</definedName>
    <definedName function="false" hidden="false" name="r_wtC" vbProcedure="false">CALCULO!$D$86</definedName>
    <definedName function="false" hidden="false" name="r_wtD" vbProcedure="false">CALCULO!$D$85</definedName>
    <definedName function="false" hidden="false" name="sd_elec" vbProcedure="false">DISEÑO!$C$56</definedName>
    <definedName function="false" hidden="false" name="sd_tipo" vbProcedure="false">DISEÑO!$C$15</definedName>
    <definedName function="false" hidden="false" name="sd_wf" vbProcedure="false">DISEÑO!$C$57</definedName>
    <definedName function="false" hidden="false" name="sd_ww" vbProcedure="false">DISEÑO!$C$58</definedName>
    <definedName function="false" hidden="false" name="theta" vbProcedure="false">DISEÑO!$C$14</definedName>
    <definedName function="false" hidden="false" name="tipo" vbProcedure="false">DISEÑO!$C$11</definedName>
    <definedName function="false" hidden="false" name="t_rod" vbProcedure="false">CALCULO!$D$5</definedName>
    <definedName function="false" hidden="false" name="vg_acero" vbProcedure="false">DISEÑO!$C$22</definedName>
    <definedName function="false" hidden="false" name="vg_bf_mm" vbProcedure="false">DISEÑO!$C$19</definedName>
    <definedName function="false" hidden="false" name="vg_dh" vbProcedure="false">DISEÑO!$C$24</definedName>
    <definedName function="false" hidden="false" name="vg_d_mm" vbProcedure="false">DISEÑO!$C$18</definedName>
    <definedName function="false" hidden="false" name="vg_Fu" vbProcedure="false">DISEÑO!$E$23</definedName>
    <definedName function="false" hidden="false" name="vg_Fy" vbProcedure="false">DISEÑO!$C$23</definedName>
    <definedName function="false" hidden="false" name="vg_Lh" vbProcedure="false">DISEÑO!$C$25</definedName>
    <definedName function="false" hidden="false" name="vg_perfil" vbProcedure="false">DISEÑO!$C$17</definedName>
    <definedName function="false" hidden="false" name="vg_tf_mm" vbProcedure="false">DISEÑO!$C$21</definedName>
    <definedName function="false" hidden="false" name="vg_tw_mm" vbProcedure="false">DISEÑO!$C$20</definedName>
    <definedName function="false" hidden="false" name="w_FEXX" vbProcedure="false">CALCULO!$D$40</definedName>
    <definedName function="false" hidden="false" name="xd_c" vbProcedure="false">CALCULO!$D$73</definedName>
    <definedName function="false" hidden="false" name="xd_E" vbProcedure="false">CALCULO!$D$62</definedName>
    <definedName function="false" hidden="false" name="xd_gr" vbProcedure="false">CALCULO!$D$63</definedName>
    <definedName function="false" hidden="false" name="xd_Lc" vbProcedure="false">CALCULO!$D$69</definedName>
    <definedName function="false" hidden="false" name="xd_Mcf" vbProcedure="false">CALCULO!$D$75</definedName>
    <definedName function="false" hidden="false" name="xd_Mnp" vbProcedure="false">CALCULO!$D$65</definedName>
    <definedName function="false" hidden="false" name="xd_Mpl" vbProcedure="false">CALCULO!$D$67</definedName>
    <definedName function="false" hidden="false" name="xd_nbc" vbProcedure="false">CALCULO!$D$68</definedName>
    <definedName function="false" hidden="false" name="xd_Nc" vbProcedure="false">CALCULO!$D$78</definedName>
    <definedName function="false" hidden="false" name="xd_Rbp" vbProcedure="false">CALCULO!$D$71</definedName>
    <definedName function="false" hidden="false" name="xd_Rcfe" vbProcedure="false">CALCULO!$D$80</definedName>
    <definedName function="false" hidden="false" name="xd_Rfb" vbProcedure="false">CALCULO!$D$76</definedName>
    <definedName function="false" hidden="false" name="xd_Rv" vbProcedure="false">CALCULO!$D$70</definedName>
    <definedName function="false" hidden="false" name="xd_Rwc" vbProcedure="false">CALCULO!$D$79</definedName>
    <definedName function="false" hidden="false" name="xd_Rwy" vbProcedure="false">CALCULO!$D$77</definedName>
    <definedName function="false" hidden="false" name="xd_sc" vbProcedure="false">CALCULO!$D$72</definedName>
    <definedName function="false" hidden="false" name="xd_Sh" vbProcedure="false">CALCULO!$D$64</definedName>
    <definedName function="false" hidden="false" name="xd_Yc" vbProcedure="false">CALCULO!$D$74</definedName>
    <definedName function="false" hidden="false" name="xd_Yp" vbProcedure="false">CALCULO!$D$66</definedName>
    <definedName function="false" hidden="false" name="xu_c" vbProcedure="false">CALCULO!$D$53</definedName>
    <definedName function="false" hidden="false" name="xu_E" vbProcedure="false">CALCULO!$D$42</definedName>
    <definedName function="false" hidden="false" name="xu_gr" vbProcedure="false">CALCULO!$D$43</definedName>
    <definedName function="false" hidden="false" name="xu_Lc" vbProcedure="false">CALCULO!$D$49</definedName>
    <definedName function="false" hidden="false" name="xu_Mcf" vbProcedure="false">CALCULO!$D$55</definedName>
    <definedName function="false" hidden="false" name="xu_Mnp" vbProcedure="false">CALCULO!$D$45</definedName>
    <definedName function="false" hidden="false" name="xu_Mpl" vbProcedure="false">CALCULO!$D$47</definedName>
    <definedName function="false" hidden="false" name="xu_nbc" vbProcedure="false">CALCULO!$D$48</definedName>
    <definedName function="false" hidden="false" name="xu_Nc" vbProcedure="false">CALCULO!$D$58</definedName>
    <definedName function="false" hidden="false" name="xu_Rbp" vbProcedure="false">CALCULO!$D$51</definedName>
    <definedName function="false" hidden="false" name="xu_Rcfe" vbProcedure="false">CALCULO!$D$60</definedName>
    <definedName function="false" hidden="false" name="xu_Rfb" vbProcedure="false">CALCULO!$D$56</definedName>
    <definedName function="false" hidden="false" name="xu_Rv" vbProcedure="false">CALCULO!$D$50</definedName>
    <definedName function="false" hidden="false" name="xu_Rwc" vbProcedure="false">CALCULO!$D$59</definedName>
    <definedName function="false" hidden="false" name="xu_Rwy" vbProcedure="false">CALCULO!$D$57</definedName>
    <definedName function="false" hidden="false" name="xu_sc" vbProcedure="false">CALCULO!$D$52</definedName>
    <definedName function="false" hidden="false" name="xu_Sh" vbProcedure="false">CALCULO!$D$44</definedName>
    <definedName function="false" hidden="false" name="xu_Yc" vbProcedure="false">CALCULO!$D$54</definedName>
    <definedName function="false" hidden="false" name="xu_Yp" vbProcedure="false">CALCULO!$D$46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Rodilla: placa vertical de la viga apernada al ala de la columna. Cumbrera: dos placas iguales apernadas entre sí; no hay verificaciones de columna.</t>
        </r>
      </text>
    </comment>
    <comment ref="C12" authorId="0">
      <text>
        <r>
          <rPr>
            <sz val="10"/>
            <rFont val="Arial"/>
            <family val="2"/>
          </rPr>
          <t xml:space="preserve">Gobierna cuando Mu &lt; 0 (tracción en el ala superior). Al ras 1 y 2 filas: DG16; extendida 1+1: DG4 / AISC 358 (4E).</t>
        </r>
      </text>
    </comment>
    <comment ref="C13" authorId="0">
      <text>
        <r>
          <rPr>
            <sz val="10"/>
            <rFont val="Arial"/>
            <family val="2"/>
          </rPr>
          <t xml:space="preserve">Gobierna cuando Mu &gt; 0 (tracción en el ala inferior).</t>
        </r>
      </text>
    </comment>
    <comment ref="C14" authorId="0">
      <text>
        <r>
          <rPr>
            <sz val="10"/>
            <rFont val="Arial"/>
            <family val="2"/>
          </rPr>
          <t xml:space="preserve">La placa es vertical; las distancias y el peralte se miden a lo largo de la placa: dp = d/cos θ.</t>
        </r>
      </text>
    </comment>
    <comment ref="C17" authorId="0">
      <text>
        <r>
          <rPr>
            <sz val="10"/>
            <rFont val="Arial"/>
            <family val="2"/>
          </rPr>
          <t xml:space="preserve">Para una viga armada elija 'ARMADO (flejes soldados)' e ingrese d, bf, tw, tf en mm en la columna 'Armado'.</t>
        </r>
      </text>
    </comment>
    <comment ref="C24" authorId="0">
      <text>
        <r>
          <rPr>
            <sz val="10"/>
            <rFont val="Arial"/>
            <family val="2"/>
          </rPr>
          <t xml:space="preserve">Peralte perpendicular al eje de la viga en la cara de la placa. En cumbrera normalmente 0.</t>
        </r>
      </text>
    </comment>
    <comment ref="C35" authorId="0">
      <text>
        <r>
          <rPr>
            <sz val="10"/>
            <rFont val="Arial"/>
            <family val="2"/>
          </rPr>
          <t xml:space="preserve">0 si la columna termina al nivel del ala superior de la viga (caso usual en rodilla). Controla Ct en J10.2 y la fórmula de crippling J10.3.</t>
        </r>
      </text>
    </comment>
    <comment ref="C44" authorId="0">
      <text>
        <r>
          <rPr>
            <sz val="10"/>
            <rFont val="Arial"/>
            <family val="2"/>
          </rPr>
          <t xml:space="preserve">En las líneas de fluencia se usa bp ≤ bf + 1 in.</t>
        </r>
      </text>
    </comment>
  </commentList>
</comments>
</file>

<file path=xl/sharedStrings.xml><?xml version="1.0" encoding="utf-8"?>
<sst xmlns="http://schemas.openxmlformats.org/spreadsheetml/2006/main" count="787" uniqueCount="456">
  <si>
    <t xml:space="preserve">GALPÓN — CONEXIÓN DE RODILLA Y CUMBRERA CON PLACA EXTREMA</t>
  </si>
  <si>
    <t xml:space="preserve">AISC Design Guide 16 y Design Guide 4 (placa gruesa)  ·  AISC 358-16 Tabla 6.2/6.5 (4E)  ·  AISC 360-16 (J2, J3, J4, J10)  ·  LRFD  ·  Unidades: Tonf, Tonf·m,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</si>
  <si>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</si>
  <si>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</si>
  <si>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</si>
  <si>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capacidad, o requerido / provisto)</t>
  </si>
  <si>
    <t xml:space="preserve">DATOS GENERALES</t>
  </si>
  <si>
    <t xml:space="preserve">VISTA FRONTAL (●rojo sup. · ●verde inf.)</t>
  </si>
  <si>
    <t xml:space="preserve">ELEVACIÓN LATERAL</t>
  </si>
  <si>
    <t xml:space="preserve">VERIFICACIONES — combinación gobernante por chequeo</t>
  </si>
  <si>
    <t xml:space="preserve">Proyecto</t>
  </si>
  <si>
    <t xml:space="preserve">Galpón KUBIEC — ejemplo</t>
  </si>
  <si>
    <t xml:space="preserve">Elemento / nudo</t>
  </si>
  <si>
    <t xml:space="preserve">Pórtico tipo, eje 3</t>
  </si>
  <si>
    <t xml:space="preserve">Límite verde / amarillo (ratio)</t>
  </si>
  <si>
    <t xml:space="preserve">CONEXIÓN</t>
  </si>
  <si>
    <t xml:space="preserve">Verificación</t>
  </si>
  <si>
    <t xml:space="preserve">Referencia</t>
  </si>
  <si>
    <t xml:space="preserve">Demanda</t>
  </si>
  <si>
    <t xml:space="preserve">Capacidad</t>
  </si>
  <si>
    <t xml:space="preserve">Unidad</t>
  </si>
  <si>
    <t xml:space="preserve">Ratio</t>
  </si>
  <si>
    <t xml:space="preserve">Estado</t>
  </si>
  <si>
    <t xml:space="preserve">Combo</t>
  </si>
  <si>
    <t xml:space="preserve">Tipo</t>
  </si>
  <si>
    <t xml:space="preserve">Rodilla (placa al ala de columna)</t>
  </si>
  <si>
    <t xml:space="preserve">PLACA EXTREMA Y PERNOS</t>
  </si>
  <si>
    <t xml:space="preserve">Configuración lado superior</t>
  </si>
  <si>
    <t xml:space="preserve">Extendida — 1+1 (4E)</t>
  </si>
  <si>
    <t xml:space="preserve">Pernos a tracción (sin efecto palanca)</t>
  </si>
  <si>
    <t xml:space="preserve">DG16 / DG4</t>
  </si>
  <si>
    <t xml:space="preserve">Tonf·m</t>
  </si>
  <si>
    <t xml:space="preserve">Configuración lado inferior</t>
  </si>
  <si>
    <t xml:space="preserve">Al ras — 1 fila (2 pernos)</t>
  </si>
  <si>
    <t xml:space="preserve">Flexión de placa (placa gruesa, γr)</t>
  </si>
  <si>
    <t xml:space="preserve">DG16 / DG4 · Yp</t>
  </si>
  <si>
    <t xml:space="preserve">Pendiente de la viga θ</t>
  </si>
  <si>
    <t xml:space="preserve">°</t>
  </si>
  <si>
    <t xml:space="preserve">Extensión — fluencia por corte</t>
  </si>
  <si>
    <t xml:space="preserve">DG4 · J4.2(a)</t>
  </si>
  <si>
    <t xml:space="preserve">Tonf</t>
  </si>
  <si>
    <t xml:space="preserve">Soldadura ala – placa</t>
  </si>
  <si>
    <t xml:space="preserve">Filete (ambos lados)</t>
  </si>
  <si>
    <t xml:space="preserve">Extensión — ruptura por corte</t>
  </si>
  <si>
    <t xml:space="preserve">DG4 · J4.2(b)</t>
  </si>
  <si>
    <t xml:space="preserve">1. VIGA (RAFTER)</t>
  </si>
  <si>
    <t xml:space="preserve">Corte en pernos (lado en compresión)</t>
  </si>
  <si>
    <t xml:space="preserve">J3.6</t>
  </si>
  <si>
    <t xml:space="preserve">Perfil (catálogo o ARMADO)</t>
  </si>
  <si>
    <t xml:space="preserve">VK400X180X6X12</t>
  </si>
  <si>
    <t xml:space="preserve">Armado (mm)</t>
  </si>
  <si>
    <t xml:space="preserve">Aplastamiento / desgarre — placa</t>
  </si>
  <si>
    <t xml:space="preserve">J3.10</t>
  </si>
  <si>
    <t xml:space="preserve">Peralte d</t>
  </si>
  <si>
    <t xml:space="preserve">mm</t>
  </si>
  <si>
    <t xml:space="preserve">Aplastamiento — ala de columna / placa gemela</t>
  </si>
  <si>
    <t xml:space="preserve">Ancho de ala bf</t>
  </si>
  <si>
    <t xml:space="preserve">SOLDADURAS VIGA – PLACA</t>
  </si>
  <si>
    <t xml:space="preserve">Espesor de alma tw</t>
  </si>
  <si>
    <t xml:space="preserve">Ala – placa (filete o CJP)</t>
  </si>
  <si>
    <t xml:space="preserve">J2.4 / J2.1</t>
  </si>
  <si>
    <t xml:space="preserve">Espesor de ala tf</t>
  </si>
  <si>
    <t xml:space="preserve">SOLICITACIONES EN LA CARA DE LA PLACA (LRFD)</t>
  </si>
  <si>
    <t xml:space="preserve">Alma – zona de tracción (desarrollar Fy)</t>
  </si>
  <si>
    <t xml:space="preserve">kgf/cm</t>
  </si>
  <si>
    <t xml:space="preserve">Acero</t>
  </si>
  <si>
    <t xml:space="preserve">A572 Gr50</t>
  </si>
  <si>
    <t xml:space="preserve">Combinación</t>
  </si>
  <si>
    <t xml:space="preserve">Mu (Tonf·m)
(−) tracc. arriba</t>
  </si>
  <si>
    <t xml:space="preserve">Vu (Tonf)</t>
  </si>
  <si>
    <t xml:space="preserve">Pu (Tonf)
(+) tracción</t>
  </si>
  <si>
    <t xml:space="preserve">Lado en tracción</t>
  </si>
  <si>
    <t xml:space="preserve">Ratio máx.</t>
  </si>
  <si>
    <t xml:space="preserve">Alma – corte</t>
  </si>
  <si>
    <t xml:space="preserve">J2.4</t>
  </si>
  <si>
    <t xml:space="preserve">Fy / Fu</t>
  </si>
  <si>
    <t xml:space="preserve">kgf/cm²</t>
  </si>
  <si>
    <t xml:space="preserve">1.2D+1.6Lr</t>
  </si>
  <si>
    <t xml:space="preserve">COLUMNA (solo rodilla)</t>
  </si>
  <si>
    <t xml:space="preserve">Peralte con cartela en la placa (0 = sin)</t>
  </si>
  <si>
    <t xml:space="preserve">1.2D+0.5Lr+1.0W</t>
  </si>
  <si>
    <t xml:space="preserve">Flexión del ala de columna</t>
  </si>
  <si>
    <t xml:space="preserve">4E: Tabla 6.5/6.6 · al ras: J10.1</t>
  </si>
  <si>
    <t xml:space="preserve">T·m | T</t>
  </si>
  <si>
    <t xml:space="preserve">Largo de la cartela (dibujo)</t>
  </si>
  <si>
    <t xml:space="preserve">0.9D+1.0W (succión)</t>
  </si>
  <si>
    <t xml:space="preserve">Fluencia local del alma</t>
  </si>
  <si>
    <t xml:space="preserve">J10.2</t>
  </si>
  <si>
    <t xml:space="preserve">2. COLUMNA (solo rodilla)</t>
  </si>
  <si>
    <t xml:space="preserve">1.2D+1.0E+Lr</t>
  </si>
  <si>
    <t xml:space="preserve">Aplastamiento del alma (crippling)</t>
  </si>
  <si>
    <t xml:space="preserve">J10.3</t>
  </si>
  <si>
    <t xml:space="preserve">HA500X250X10X15</t>
  </si>
  <si>
    <t xml:space="preserve">C5</t>
  </si>
  <si>
    <t xml:space="preserve">Rigidizadores de continuidad</t>
  </si>
  <si>
    <t xml:space="preserve">J10.8</t>
  </si>
  <si>
    <t xml:space="preserve">C6</t>
  </si>
  <si>
    <t xml:space="preserve">Zona de panel (corte)</t>
  </si>
  <si>
    <t xml:space="preserve">J10.6(a)</t>
  </si>
  <si>
    <t xml:space="preserve">C7</t>
  </si>
  <si>
    <t xml:space="preserve">GEOMETRÍA Y DETALLES (requerido / provisto)</t>
  </si>
  <si>
    <t xml:space="preserve">C8</t>
  </si>
  <si>
    <t xml:space="preserve">Ancho de placa bp ≥ bf</t>
  </si>
  <si>
    <t xml:space="preserve">DG4 / DG16</t>
  </si>
  <si>
    <t xml:space="preserve">cm</t>
  </si>
  <si>
    <t xml:space="preserve">—</t>
  </si>
  <si>
    <t xml:space="preserve">C9</t>
  </si>
  <si>
    <t xml:space="preserve">Holgura de llave pfi ≥ db + 12.7 mm</t>
  </si>
  <si>
    <t xml:space="preserve">DG16</t>
  </si>
  <si>
    <t xml:space="preserve">C10</t>
  </si>
  <si>
    <t xml:space="preserve">Holgura de llave pfo ≥ db + 12.7 mm</t>
  </si>
  <si>
    <t xml:space="preserve">Convención SAP2000: M3 negativo = tracción en el ala superior. Pu positivo = tracción. Filas vacías se ignoran.</t>
  </si>
  <si>
    <t xml:space="preserve">Borde de ≥ mínimo</t>
  </si>
  <si>
    <t xml:space="preserve">J3.4</t>
  </si>
  <si>
    <t xml:space="preserve">Filete / radio alma–ala (para k)</t>
  </si>
  <si>
    <t xml:space="preserve">Borde lateral (bp − g)/2 ≥ mínimo</t>
  </si>
  <si>
    <t xml:space="preserve">Tope de columna → ala superior de viga</t>
  </si>
  <si>
    <t xml:space="preserve">DETALLE DE UNA COMBINACIÓN</t>
  </si>
  <si>
    <t xml:space="preserve">Gramil g ≥ 2⅔·db</t>
  </si>
  <si>
    <t xml:space="preserve">J3.3</t>
  </si>
  <si>
    <t xml:space="preserve">Pu de la columna</t>
  </si>
  <si>
    <t xml:space="preserve">Combinación:</t>
  </si>
  <si>
    <t xml:space="preserve">Paso pb ≥ 2⅔·db</t>
  </si>
  <si>
    <t xml:space="preserve">Sí</t>
  </si>
  <si>
    <t xml:space="preserve">Segunda fila interior dentro del alma (h2 &gt; dp/2)</t>
  </si>
  <si>
    <t xml:space="preserve">Geometría</t>
  </si>
  <si>
    <t xml:space="preserve">Rigid. continuidad: espesor</t>
  </si>
  <si>
    <t xml:space="preserve">Configuración del lado en tracción</t>
  </si>
  <si>
    <t xml:space="preserve">Filete mínimo ala</t>
  </si>
  <si>
    <t xml:space="preserve">Tabla J2.4</t>
  </si>
  <si>
    <t xml:space="preserve">Rigid. continuidad: ancho (c/lado)</t>
  </si>
  <si>
    <t xml:space="preserve">Momento equivalente Meq (con axial)</t>
  </si>
  <si>
    <t xml:space="preserve">Filete mínimo alma</t>
  </si>
  <si>
    <t xml:space="preserve">Placa de refuerzo del alma (doubler)</t>
  </si>
  <si>
    <t xml:space="preserve">Fuerza en el ala Ffu</t>
  </si>
  <si>
    <t xml:space="preserve">Rigid. continuidad: b + tcw/2 ≥ bf/3</t>
  </si>
  <si>
    <t xml:space="preserve">3. PLACA EXTREMA</t>
  </si>
  <si>
    <t xml:space="preserve">Corte en el plano de la placa Vp</t>
  </si>
  <si>
    <t xml:space="preserve">Rigid. continuidad: t ≥ tf/2</t>
  </si>
  <si>
    <t xml:space="preserve">Placa dentro del ala de columna: bp ≤ bcf</t>
  </si>
  <si>
    <t xml:space="preserve">Pendiente θ ≤ 30° (validez de la proyección)</t>
  </si>
  <si>
    <t xml:space="preserve">Criterio</t>
  </si>
  <si>
    <t xml:space="preserve">bp — ancho de placa</t>
  </si>
  <si>
    <t xml:space="preserve">Yp de la placa</t>
  </si>
  <si>
    <t xml:space="preserve">Alma de viga: tw ≥ tmín para el filete del alma</t>
  </si>
  <si>
    <t xml:space="preserve">Manual Ec. 9-2</t>
  </si>
  <si>
    <t xml:space="preserve">tp — espesor</t>
  </si>
  <si>
    <t xml:space="preserve">Peralte en la placa dp</t>
  </si>
  <si>
    <t xml:space="preserve">g — gramil</t>
  </si>
  <si>
    <t xml:space="preserve">Ratio máximo</t>
  </si>
  <si>
    <t xml:space="preserve">ALCANCE Y SUPUESTOS</t>
  </si>
  <si>
    <t xml:space="preserve">pfo — ala a fila exterior (extendida)</t>
  </si>
  <si>
    <t xml:space="preserve">• Placa gruesa (DG16/DG4): tp ≥ tp,req para 1.11·γr·φMnp; los pernos no tienen efecto palanca.</t>
  </si>
  <si>
    <t xml:space="preserve">pfi — ala a primera fila interior</t>
  </si>
  <si>
    <t xml:space="preserve">• Momento reversible: cada lado usa su configuración; se revisan todas las combinaciones.</t>
  </si>
  <si>
    <t xml:space="preserve">pb — entre filas interiores (al ras 2 filas)</t>
  </si>
  <si>
    <t xml:space="preserve">• Pendiente: placa vertical, distancias a lo largo de la placa (dp = d/cosθ); axial y corte proyectados de forma conservadora.</t>
  </si>
  <si>
    <t xml:space="preserve">de — fila exterior a borde (extendida)</t>
  </si>
  <si>
    <t xml:space="preserve">• Carga axial de tracción aumenta la fuerza en el ala; la compresión axial se desprecia (conservador).</t>
  </si>
  <si>
    <t xml:space="preserve">4. PERNOS (pretensados)</t>
  </si>
  <si>
    <t xml:space="preserve">• Ala de columna: 4E con líneas de fluencia (AISC 358 Tablas 6.5/6.6); al ras con J10.1.</t>
  </si>
  <si>
    <t xml:space="preserve">Grado</t>
  </si>
  <si>
    <t xml:space="preserve">A325-N (roscas incl.)</t>
  </si>
  <si>
    <t xml:space="preserve">• No incluye: método de placa delgada con palanca (DG16), placa tapa de columna, pandeo de la cartela.</t>
  </si>
  <si>
    <t xml:space="preserve">Fnt / Fnv</t>
  </si>
  <si>
    <t xml:space="preserve">• Herramienta de apoyo: la responsabilidad del diseño es del ingeniero que la usa.</t>
  </si>
  <si>
    <t xml:space="preserve">Diámetro</t>
  </si>
  <si>
    <t xml:space="preserve">7/8"</t>
  </si>
  <si>
    <t xml:space="preserve">5. SOLDADURA</t>
  </si>
  <si>
    <t xml:space="preserve">Electrodo</t>
  </si>
  <si>
    <t xml:space="preserve">E70XX</t>
  </si>
  <si>
    <t xml:space="preserve">Filete ala – placa (si no es CJP)</t>
  </si>
  <si>
    <t xml:space="preserve">Filete alma – placa (c/lado)</t>
  </si>
  <si>
    <t xml:space="preserve">HOJA DE CÁLCULO — memoria detallada (no editar)</t>
  </si>
  <si>
    <t xml:space="preserve">Unidades: kgf, cm. Placa gruesa (DG16/DG4): la placa se dimensiona para 1.11·γr·φ·Mnp, así los pernos no tienen efecto palanca. γr = 1.25 al ras, 1.00 extendida (DG16).</t>
  </si>
  <si>
    <t xml:space="preserve">0. GEOMETRÍA Y MATERIALES</t>
  </si>
  <si>
    <t xml:space="preserve">rodilla</t>
  </si>
  <si>
    <t xml:space="preserve">1 = rodilla ; 0 = cumbrera</t>
  </si>
  <si>
    <t xml:space="preserve">-</t>
  </si>
  <si>
    <t xml:space="preserve">E</t>
  </si>
  <si>
    <t xml:space="preserve">Módulo de elasticidad</t>
  </si>
  <si>
    <t xml:space="preserve">cos θ</t>
  </si>
  <si>
    <t xml:space="preserve">Pendiente de la viga</t>
  </si>
  <si>
    <t xml:space="preserve">sen θ</t>
  </si>
  <si>
    <t xml:space="preserve">d</t>
  </si>
  <si>
    <t xml:space="preserve">Peralte en la conexión (con cartela si existe), perpendicular al eje</t>
  </si>
  <si>
    <t xml:space="preserve">bf</t>
  </si>
  <si>
    <t xml:space="preserve">Ancho de ala</t>
  </si>
  <si>
    <t xml:space="preserve">tw</t>
  </si>
  <si>
    <t xml:space="preserve">Alma</t>
  </si>
  <si>
    <t xml:space="preserve">tf</t>
  </si>
  <si>
    <t xml:space="preserve">Ala</t>
  </si>
  <si>
    <t xml:space="preserve">dp</t>
  </si>
  <si>
    <t xml:space="preserve">Peralte a lo largo de la placa = d/cos θ</t>
  </si>
  <si>
    <t xml:space="preserve">tfp</t>
  </si>
  <si>
    <t xml:space="preserve">Ala proyectada = tf/cos θ</t>
  </si>
  <si>
    <t xml:space="preserve">dc</t>
  </si>
  <si>
    <t xml:space="preserve">Columna</t>
  </si>
  <si>
    <t xml:space="preserve">bcf</t>
  </si>
  <si>
    <t xml:space="preserve">tcw</t>
  </si>
  <si>
    <t xml:space="preserve">tcf</t>
  </si>
  <si>
    <t xml:space="preserve">Ac</t>
  </si>
  <si>
    <t xml:space="preserve">Área de columna</t>
  </si>
  <si>
    <t xml:space="preserve">cm²</t>
  </si>
  <si>
    <t xml:space="preserve">kc</t>
  </si>
  <si>
    <t xml:space="preserve">tcf + filete</t>
  </si>
  <si>
    <t xml:space="preserve">bp</t>
  </si>
  <si>
    <t xml:space="preserve">Ancho de placa</t>
  </si>
  <si>
    <t xml:space="preserve">bp,ef</t>
  </si>
  <si>
    <t xml:space="preserve">mín(bp ; bf + 2.54)</t>
  </si>
  <si>
    <t xml:space="preserve">tp</t>
  </si>
  <si>
    <t xml:space="preserve">Espesor</t>
  </si>
  <si>
    <t xml:space="preserve">g</t>
  </si>
  <si>
    <t xml:space="preserve">Gramil</t>
  </si>
  <si>
    <t xml:space="preserve">pfo</t>
  </si>
  <si>
    <t xml:space="preserve">Ala a fila exterior</t>
  </si>
  <si>
    <t xml:space="preserve">pfi</t>
  </si>
  <si>
    <t xml:space="preserve">Ala a primera fila interior</t>
  </si>
  <si>
    <t xml:space="preserve">pb</t>
  </si>
  <si>
    <t xml:space="preserve">Entre filas interiores</t>
  </si>
  <si>
    <t xml:space="preserve">de</t>
  </si>
  <si>
    <t xml:space="preserve">Fila exterior a borde</t>
  </si>
  <si>
    <t xml:space="preserve">s</t>
  </si>
  <si>
    <t xml:space="preserve">½·√(bp,ef·g)</t>
  </si>
  <si>
    <t xml:space="preserve">pf,ef</t>
  </si>
  <si>
    <t xml:space="preserve">pfi ≤ s</t>
  </si>
  <si>
    <t xml:space="preserve">h0</t>
  </si>
  <si>
    <t xml:space="preserve">Fila exterior: dp − tfp/2 + pfo</t>
  </si>
  <si>
    <t xml:space="preserve">h1</t>
  </si>
  <si>
    <t xml:space="preserve">Primera fila interior: dp − 1.5·tfp − pfi</t>
  </si>
  <si>
    <t xml:space="preserve">h2</t>
  </si>
  <si>
    <t xml:space="preserve">Segunda fila interior: h1 − pb</t>
  </si>
  <si>
    <t xml:space="preserve">db</t>
  </si>
  <si>
    <t xml:space="preserve">in</t>
  </si>
  <si>
    <t xml:space="preserve">Ab</t>
  </si>
  <si>
    <t xml:space="preserve">π·db²/4</t>
  </si>
  <si>
    <t xml:space="preserve">dh</t>
  </si>
  <si>
    <t xml:space="preserve">Agujero estándar</t>
  </si>
  <si>
    <t xml:space="preserve">Le,min</t>
  </si>
  <si>
    <t xml:space="preserve">Borde mínimo (J3.4)</t>
  </si>
  <si>
    <t xml:space="preserve">Pt</t>
  </si>
  <si>
    <t xml:space="preserve">Fnt·Ab</t>
  </si>
  <si>
    <t xml:space="preserve">kgf</t>
  </si>
  <si>
    <t xml:space="preserve">FEXX</t>
  </si>
  <si>
    <t xml:space="preserve">1U. TRACCIÓN EN EL ALA SUPERIOR (Mu &lt; 0) — configuración del lado superior</t>
  </si>
  <si>
    <t xml:space="preserve">ext.</t>
  </si>
  <si>
    <t xml:space="preserve">1 si el lado en tracción es extendido</t>
  </si>
  <si>
    <t xml:space="preserve">γr</t>
  </si>
  <si>
    <t xml:space="preserve">1.25 al ras ; 1.00 extendida (DG16)</t>
  </si>
  <si>
    <t xml:space="preserve">Σhi</t>
  </si>
  <si>
    <t xml:space="preserve">Suma de brazos de las filas en tracción</t>
  </si>
  <si>
    <t xml:space="preserve">φMnp</t>
  </si>
  <si>
    <t xml:space="preserve">0.75·2·Pt·Σhi (pernos sin palanca)</t>
  </si>
  <si>
    <t xml:space="preserve">kgf·cm</t>
  </si>
  <si>
    <t xml:space="preserve">Yp</t>
  </si>
  <si>
    <t xml:space="preserve">Línea de fluencia de la placa (DG16 / Tabla 6.2 para 4E)</t>
  </si>
  <si>
    <t xml:space="preserve">φMpl</t>
  </si>
  <si>
    <t xml:space="preserve">0.90·Fyp·Yp·tp²</t>
  </si>
  <si>
    <t xml:space="preserve">nb,c</t>
  </si>
  <si>
    <t xml:space="preserve">Pernos del lado en compresión (resisten el corte)</t>
  </si>
  <si>
    <t xml:space="preserve">Lc,mín</t>
  </si>
  <si>
    <t xml:space="preserve">Menor Lc de los pernos en compresión (bordes de placa y entre filas)</t>
  </si>
  <si>
    <t xml:space="preserve">φRn</t>
  </si>
  <si>
    <t xml:space="preserve">Corte: 0.75·nb,c·Fnv·Ab</t>
  </si>
  <si>
    <t xml:space="preserve">Aplastamiento en placa: 0.75·nb,c·mín(1.2Lc ; 2.4db)·tp·Fu</t>
  </si>
  <si>
    <t xml:space="preserve">s,c</t>
  </si>
  <si>
    <t xml:space="preserve">½·√(bcf·g)</t>
  </si>
  <si>
    <t xml:space="preserve">c</t>
  </si>
  <si>
    <t xml:space="preserve">pfo + tfp + pfi</t>
  </si>
  <si>
    <t xml:space="preserve">Yc</t>
  </si>
  <si>
    <t xml:space="preserve">4E: Tabla 6.5 (sin rigidizar) / 6.6 (rigidizada)</t>
  </si>
  <si>
    <t xml:space="preserve">φMcf</t>
  </si>
  <si>
    <t xml:space="preserve">Ala de columna (4E): 0.90·Fyc·Yc·tcf²</t>
  </si>
  <si>
    <t xml:space="preserve">Ala de columna al ras: J10.1, 0.90·6.25·Fyc·tcf² (×0.5 si a &lt; 10tcf del tope)</t>
  </si>
  <si>
    <t xml:space="preserve">Fluencia local del alma en el ala en tracción (J10.2): 1.00·(5k|2.5k + tfp + 2tp)·Fyc·tcw</t>
  </si>
  <si>
    <t xml:space="preserve">lb</t>
  </si>
  <si>
    <t xml:space="preserve">Crippling: tfp + 2w + 2tp</t>
  </si>
  <si>
    <t xml:space="preserve">Crippling en el ala en compresión (J10.3)</t>
  </si>
  <si>
    <t xml:space="preserve">Ala de columna como fuerza equivalente (4E: φMcf,sin rigid./(dp − tfp) ; al ras: J10.1)</t>
  </si>
  <si>
    <t xml:space="preserve">1D. TRACCIÓN EN EL ALA INFERIOR (Mu &gt; 0) — configuración del lado inferior</t>
  </si>
  <si>
    <t xml:space="preserve">2. RESISTENCIAS COMUNES</t>
  </si>
  <si>
    <t xml:space="preserve">Extensión 4E, fluencia por corte: 1.00·0.6·Fyp·bp·tp</t>
  </si>
  <si>
    <t xml:space="preserve">Extensión 4E, ruptura por corte: 0.75·0.6·Fup·[bp − 2(dh + 1/16 in)]·tp</t>
  </si>
  <si>
    <t xml:space="preserve">Filete ala (2 lados): 0.75·0.6·FEXX·0.707w·(2bf − tw)·1.5 ; CJP: 0.90·Fy·bf·tf</t>
  </si>
  <si>
    <t xml:space="preserve">req.</t>
  </si>
  <si>
    <t xml:space="preserve">Alma en zona de tracción: 0.9·Fy·tw por unidad de longitud (DG16/DG4)</t>
  </si>
  <si>
    <t xml:space="preserve">Filete alma 2 lados por unidad de longitud (θ = 90°)</t>
  </si>
  <si>
    <t xml:space="preserve">Alma a corte: Lw = dp/2 − tfp (2 lados)</t>
  </si>
  <si>
    <t xml:space="preserve">Aplastamiento en ala de columna por perno: 0.75·2.4·db·tcf·Fuc</t>
  </si>
  <si>
    <t xml:space="preserve">Rigidizadores de continuidad: 0.90·Fyc·2·b·t</t>
  </si>
  <si>
    <t xml:space="preserve">Py</t>
  </si>
  <si>
    <t xml:space="preserve">Fyc·Ac</t>
  </si>
  <si>
    <t xml:space="preserve">φRv</t>
  </si>
  <si>
    <t xml:space="preserve">Zona de panel J10.6(a): 0.90·0.6·Fyc·dc·(tcw + doubler)·(1 ó 1.4 − Pr/Py)</t>
  </si>
  <si>
    <t xml:space="preserve">3. VERIFICACIÓN POR COMBINACIÓN</t>
  </si>
  <si>
    <t xml:space="preserve">Símbolo</t>
  </si>
  <si>
    <t xml:space="preserve">Descripción</t>
  </si>
  <si>
    <t xml:space="preserve">Nombre</t>
  </si>
  <si>
    <t xml:space="preserve">Mu</t>
  </si>
  <si>
    <t xml:space="preserve">Momento (con signo)</t>
  </si>
  <si>
    <t xml:space="preserve">Vu</t>
  </si>
  <si>
    <t xml:space="preserve">|Cortante|</t>
  </si>
  <si>
    <t xml:space="preserve">Pu</t>
  </si>
  <si>
    <t xml:space="preserve">Axial (+ tracción)</t>
  </si>
  <si>
    <t xml:space="preserve">activo</t>
  </si>
  <si>
    <t xml:space="preserve">Combinación con cargas</t>
  </si>
  <si>
    <t xml:space="preserve">arriba</t>
  </si>
  <si>
    <t xml:space="preserve">1 = tracción en el ala superior (Mu &lt; 0)</t>
  </si>
  <si>
    <t xml:space="preserve">Nt</t>
  </si>
  <si>
    <t xml:space="preserve">Tracción normal a la placa (conservador): máx(0,Pu)·cosθ + |Vu|·senθ</t>
  </si>
  <si>
    <t xml:space="preserve">Vp</t>
  </si>
  <si>
    <t xml:space="preserve">Corte en el plano de la placa: |Vu|·cosθ + |Pu|·senθ</t>
  </si>
  <si>
    <t xml:space="preserve">Meq</t>
  </si>
  <si>
    <t xml:space="preserve">|Mu| + Nt·(dp − tfp)/2 (compresión axial despreciada)</t>
  </si>
  <si>
    <t xml:space="preserve">Ffu</t>
  </si>
  <si>
    <t xml:space="preserve">Meq/(dp − tfp)</t>
  </si>
  <si>
    <t xml:space="preserve">db,req</t>
  </si>
  <si>
    <t xml:space="preserve">√(2Meq/(π·0.75·Fnt·Σhi))</t>
  </si>
  <si>
    <t xml:space="preserve">Cap.</t>
  </si>
  <si>
    <t xml:space="preserve">φMnp del lado en tracción</t>
  </si>
  <si>
    <t xml:space="preserve">ratio</t>
  </si>
  <si>
    <t xml:space="preserve">Pernos a tracción: Meq/φMnp</t>
  </si>
  <si>
    <t xml:space="preserve">Dem.</t>
  </si>
  <si>
    <t xml:space="preserve">Placa gruesa: 1.11·γr·φMnp</t>
  </si>
  <si>
    <t xml:space="preserve">φMpl de la placa</t>
  </si>
  <si>
    <t xml:space="preserve">Flexión de placa</t>
  </si>
  <si>
    <t xml:space="preserve">tp,req</t>
  </si>
  <si>
    <t xml:space="preserve">√(1.11γrφMnp/(0.9·Fyp·Yp))</t>
  </si>
  <si>
    <t xml:space="preserve">Lado en tracción extendido</t>
  </si>
  <si>
    <t xml:space="preserve">Extensión: fluencia por corte (Ffu/2)</t>
  </si>
  <si>
    <t xml:space="preserve">Extensión: ruptura por corte (Ffu/2)</t>
  </si>
  <si>
    <t xml:space="preserve">Corte en pernos</t>
  </si>
  <si>
    <t xml:space="preserve">Corte en pernos del lado en compresión</t>
  </si>
  <si>
    <t xml:space="preserve">Aplastamiento placa</t>
  </si>
  <si>
    <t xml:space="preserve">Aplastamiento en placa</t>
  </si>
  <si>
    <t xml:space="preserve">Aplastamiento ala de columna (rodilla) o placa gemela (cumbrera)</t>
  </si>
  <si>
    <t xml:space="preserve">Aplastamiento en el elemento de soporte</t>
  </si>
  <si>
    <t xml:space="preserve">Soldadura alma, zona de tracción</t>
  </si>
  <si>
    <t xml:space="preserve">Soldadura alma a corte</t>
  </si>
  <si>
    <t xml:space="preserve">Ala de columna: 4E → 1.11·φMnp (Tonf·m) ; al ras → Ffu (Tonf)</t>
  </si>
  <si>
    <t xml:space="preserve">Ala de columna: 4E → φMcf ; al ras → φRn J10.1</t>
  </si>
  <si>
    <t xml:space="preserve">Flexión del ala de columna (solo rodilla)</t>
  </si>
  <si>
    <t xml:space="preserve">φRn fluencia local del alma</t>
  </si>
  <si>
    <t xml:space="preserve">φRn crippling</t>
  </si>
  <si>
    <t xml:space="preserve">Fluencia local del alma (rodilla, sin rigidizadores)</t>
  </si>
  <si>
    <t xml:space="preserve">Crippling del alma (rodilla, sin rigidizadores)</t>
  </si>
  <si>
    <t xml:space="preserve">Fsu</t>
  </si>
  <si>
    <t xml:space="preserve">Ffu − mín(ala, fluencia, crippling)</t>
  </si>
  <si>
    <t xml:space="preserve">Zona de panel (rodilla)</t>
  </si>
  <si>
    <t xml:space="preserve">máx.</t>
  </si>
  <si>
    <t xml:space="preserve">CATÁLOGOS — ampliables agregando filas dentro de cada rango</t>
  </si>
  <si>
    <t xml:space="preserve">Vigas / rafters (VK: KUBIEC; W: AISC; ARMADO: medidas manuales)</t>
  </si>
  <si>
    <t xml:space="preserve">Columnas (HA: KUBIEC; W: AISC; ARMADO: medidas manuales)</t>
  </si>
  <si>
    <t xml:space="preserve">Aceros (kgf/cm²)</t>
  </si>
  <si>
    <t xml:space="preserve">Pernos pretensados (kgf/cm²) — AISC 360-16 Tabla J3.2</t>
  </si>
  <si>
    <t xml:space="preserve">Diámetros — borde mín. Tabla J3.4</t>
  </si>
  <si>
    <t xml:space="preserve">Opción</t>
  </si>
  <si>
    <t xml:space="preserve">Conexión</t>
  </si>
  <si>
    <t xml:space="preserve">Configuración por lado</t>
  </si>
  <si>
    <t xml:space="preserve">Soldadura ala–placa</t>
  </si>
  <si>
    <t xml:space="preserve">Espesores (mm)</t>
  </si>
  <si>
    <t xml:space="preserve">Viga</t>
  </si>
  <si>
    <t xml:space="preserve">Fy</t>
  </si>
  <si>
    <t xml:space="preserve">Fu</t>
  </si>
  <si>
    <t xml:space="preserve">Fnt</t>
  </si>
  <si>
    <t xml:space="preserve">Fnv</t>
  </si>
  <si>
    <t xml:space="preserve">Ø</t>
  </si>
  <si>
    <t xml:space="preserve">db (in)</t>
  </si>
  <si>
    <t xml:space="preserve">borde mín (in)</t>
  </si>
  <si>
    <t xml:space="preserve">Sí/No</t>
  </si>
  <si>
    <t xml:space="preserve">Config.</t>
  </si>
  <si>
    <t xml:space="preserve">t</t>
  </si>
  <si>
    <t xml:space="preserve">ARMADO (flejes soldados)</t>
  </si>
  <si>
    <t xml:space="preserve">A36</t>
  </si>
  <si>
    <t xml:space="preserve">5/8"</t>
  </si>
  <si>
    <t xml:space="preserve">E60XX</t>
  </si>
  <si>
    <t xml:space="preserve">VK180X100X4X6</t>
  </si>
  <si>
    <t xml:space="preserve">HA200X140X6X12</t>
  </si>
  <si>
    <t xml:space="preserve">A325-X (roscas excl.)</t>
  </si>
  <si>
    <t xml:space="preserve">3/4"</t>
  </si>
  <si>
    <t xml:space="preserve">No</t>
  </si>
  <si>
    <t xml:space="preserve">Cumbrera (placa a placa)</t>
  </si>
  <si>
    <t xml:space="preserve">Al ras — 2 filas (4 pernos)</t>
  </si>
  <si>
    <t xml:space="preserve">CJP</t>
  </si>
  <si>
    <t xml:space="preserve">VK200X100X4X8</t>
  </si>
  <si>
    <t xml:space="preserve">HA220X160X6X12</t>
  </si>
  <si>
    <t xml:space="preserve">A992</t>
  </si>
  <si>
    <t xml:space="preserve">A490-N (roscas incl.)</t>
  </si>
  <si>
    <t xml:space="preserve">VK220X110X4X8</t>
  </si>
  <si>
    <t xml:space="preserve">HA240X180X6X12</t>
  </si>
  <si>
    <t xml:space="preserve">A588 Gr50</t>
  </si>
  <si>
    <t xml:space="preserve">A490-X (roscas excl.)</t>
  </si>
  <si>
    <t xml:space="preserve">1"</t>
  </si>
  <si>
    <t xml:space="preserve">VK250X130X4X8</t>
  </si>
  <si>
    <t xml:space="preserve">HA260X180X6X12</t>
  </si>
  <si>
    <t xml:space="preserve">1-1/8"</t>
  </si>
  <si>
    <t xml:space="preserve">VK270X140X4X8</t>
  </si>
  <si>
    <t xml:space="preserve">HA280X180X6X12</t>
  </si>
  <si>
    <t xml:space="preserve">1-1/4"</t>
  </si>
  <si>
    <t xml:space="preserve">VK300X150X4X10</t>
  </si>
  <si>
    <t xml:space="preserve">HA300X180X6X12</t>
  </si>
  <si>
    <t xml:space="preserve">VK330X160X6X10</t>
  </si>
  <si>
    <t xml:space="preserve">HA320X180X6X12</t>
  </si>
  <si>
    <t xml:space="preserve">VK360X180X6X10</t>
  </si>
  <si>
    <t xml:space="preserve">HA340X180X6X12</t>
  </si>
  <si>
    <t xml:space="preserve">VK380X180X6X10</t>
  </si>
  <si>
    <t xml:space="preserve">HA360X180X6X12</t>
  </si>
  <si>
    <t xml:space="preserve">VK400X180X6X10</t>
  </si>
  <si>
    <t xml:space="preserve">HA380X200X8X15</t>
  </si>
  <si>
    <t xml:space="preserve">HA400X200X8X15</t>
  </si>
  <si>
    <t xml:space="preserve">VK420X180X6X12</t>
  </si>
  <si>
    <t xml:space="preserve">HA420X210X8X15</t>
  </si>
  <si>
    <t xml:space="preserve">VK440X180X6X12</t>
  </si>
  <si>
    <t xml:space="preserve">HA440X220X8X15</t>
  </si>
  <si>
    <t xml:space="preserve">W12X26</t>
  </si>
  <si>
    <t xml:space="preserve">HA460X230X8X15</t>
  </si>
  <si>
    <t xml:space="preserve">W14X30</t>
  </si>
  <si>
    <t xml:space="preserve">HA480X240X8X15</t>
  </si>
  <si>
    <t xml:space="preserve">W16X31</t>
  </si>
  <si>
    <t xml:space="preserve">W18X35</t>
  </si>
  <si>
    <t xml:space="preserve">HA520X260X10X15</t>
  </si>
  <si>
    <t xml:space="preserve">W21X44</t>
  </si>
  <si>
    <t xml:space="preserve">HA540X270X10X15</t>
  </si>
  <si>
    <t xml:space="preserve">W10X49</t>
  </si>
  <si>
    <t xml:space="preserve">W12X65</t>
  </si>
  <si>
    <t xml:space="preserve">W14X90</t>
  </si>
  <si>
    <t xml:space="preserve">Coordenadas de las vistas (normalizadas a ±1). No editar.</t>
  </si>
  <si>
    <t xml:space="preserve">Placa</t>
  </si>
  <si>
    <t xml:space="preserve">Pernos sup.</t>
  </si>
  <si>
    <t xml:space="preserve">Pernos inf.</t>
  </si>
  <si>
    <t xml:space="preserve">Ala int.</t>
  </si>
  <si>
    <t xml:space="preserve">Ala ext.</t>
  </si>
  <si>
    <t xml:space="preserve">Placa gemela</t>
  </si>
  <si>
    <t xml:space="preserve">Ala sup der</t>
  </si>
  <si>
    <t xml:space="preserve">Ala inf der</t>
  </si>
  <si>
    <t xml:space="preserve">Ala sup izq</t>
  </si>
  <si>
    <t xml:space="preserve">Ala inf izq</t>
  </si>
  <si>
    <t xml:space="preserve">Cont. sup</t>
  </si>
  <si>
    <t xml:space="preserve">Cont. inf</t>
  </si>
  <si>
    <t xml:space="preserve">Pernos L</t>
  </si>
  <si>
    <t xml:space="preserve">Extensión superior</t>
  </si>
  <si>
    <t xml:space="preserve">Extensión inferior</t>
  </si>
  <si>
    <t xml:space="preserve">y tope de placa</t>
  </si>
  <si>
    <t xml:space="preserve">y base de placa</t>
  </si>
  <si>
    <t xml:space="preserve">S frontal</t>
  </si>
  <si>
    <t xml:space="preserve">y centro</t>
  </si>
  <si>
    <t xml:space="preserve">Largo de viga dibujado</t>
  </si>
  <si>
    <t xml:space="preserve">tan θ</t>
  </si>
  <si>
    <t xml:space="preserve">x inicio (izquierda)</t>
  </si>
  <si>
    <t xml:space="preserve">x fin (derecha)</t>
  </si>
  <si>
    <t xml:space="preserve">signo pendiente a la derecha (+ sube en rodilla, − baja en cumbrera)</t>
  </si>
  <si>
    <t xml:space="preserve">y extrema</t>
  </si>
  <si>
    <t xml:space="preserve">S lateral</t>
  </si>
  <si>
    <t xml:space="preserve">x centro lateral</t>
  </si>
  <si>
    <t xml:space="preserve">Peralte del rafter fuera de la cartela</t>
  </si>
  <si>
    <t xml:space="preserve">Largo cartela dibujado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</si>
</sst>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"/>
    <numFmt numFmtId="167" formatCode="0"/>
    <numFmt numFmtId="168" formatCode="General"/>
    <numFmt numFmtId="169" formatCode="@"/>
    <numFmt numFmtId="170" formatCode=";;;"/>
    <numFmt numFmtId="171" formatCode="0.0000"/>
    <numFmt numFmtId="172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i val="true"/>
      <sz val="7"/>
      <color rgb="FF777777"/>
      <name val="Arial"/>
      <family val="0"/>
      <charset val="1"/>
    </font>
    <font>
      <sz val="9"/>
      <color rgb="FF0000FF"/>
      <name val="Arial"/>
      <family val="0"/>
      <charset val="1"/>
    </font>
    <font>
      <sz val="8.5"/>
      <name val="Arial"/>
      <family val="0"/>
      <charset val="1"/>
    </font>
    <font>
      <i val="true"/>
      <sz val="7.5"/>
      <name val="Arial"/>
      <family val="0"/>
      <charset val="1"/>
    </font>
    <font>
      <sz val="8"/>
      <color rgb="FF999999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  <dxf>
      <font>
        <name val="Arial"/>
        <charset val="1"/>
        <family val="0"/>
        <color rgb="FFA0A0A0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777777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A0A0A0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999999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DIBUJO!$D$4:$D$8</c:f>
              <c:numCache>
                <c:formatCode>General</c:formatCode>
                <c:ptCount val="5"/>
                <c:pt idx="0">
                  <c:v>-0.264831755308244</c:v>
                </c:pt>
                <c:pt idx="1">
                  <c:v>-0.264831755308244</c:v>
                </c:pt>
                <c:pt idx="2">
                  <c:v>0.264831755308244</c:v>
                </c:pt>
                <c:pt idx="3">
                  <c:v>0.264831755308244</c:v>
                </c:pt>
                <c:pt idx="4">
                  <c:v>-0.264831755308244</c:v>
                </c:pt>
              </c:numCache>
            </c:numRef>
          </c:xVal>
          <c:yVal>
            <c:numRef>
              <c:f>DIBUJO!$E$4:$E$8</c:f>
              <c:numCache>
                <c:formatCode>General</c:formatCode>
                <c:ptCount val="5"/>
                <c:pt idx="0">
                  <c:v>-0.925925925925926</c:v>
                </c:pt>
                <c:pt idx="1">
                  <c:v>0.925925925925926</c:v>
                </c:pt>
                <c:pt idx="2">
                  <c:v>0.925925925925926</c:v>
                </c:pt>
                <c:pt idx="3">
                  <c:v>-0.925925925925926</c:v>
                </c:pt>
                <c:pt idx="4">
                  <c:v>-0.925925925925926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"Viga"</c:f>
              <c:strCache>
                <c:ptCount val="1"/>
                <c:pt idx="0">
                  <c:v>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DIBUJO!$G$4:$G$16</c:f>
              <c:numCache>
                <c:formatCode>General</c:formatCode>
                <c:ptCount val="13"/>
                <c:pt idx="0">
                  <c:v>-0.23834857977742</c:v>
                </c:pt>
                <c:pt idx="1">
                  <c:v>0.23834857977742</c:v>
                </c:pt>
                <c:pt idx="2">
                  <c:v>0.23834857977742</c:v>
                </c:pt>
                <c:pt idx="3">
                  <c:v>0.00794495265924733</c:v>
                </c:pt>
                <c:pt idx="4">
                  <c:v>0.00794495265924733</c:v>
                </c:pt>
                <c:pt idx="5">
                  <c:v>0.23834857977742</c:v>
                </c:pt>
                <c:pt idx="6">
                  <c:v>0.23834857977742</c:v>
                </c:pt>
                <c:pt idx="7">
                  <c:v>-0.23834857977742</c:v>
                </c:pt>
                <c:pt idx="8">
                  <c:v>-0.23834857977742</c:v>
                </c:pt>
                <c:pt idx="9">
                  <c:v>-0.00794495265924733</c:v>
                </c:pt>
                <c:pt idx="10">
                  <c:v>-0.00794495265924733</c:v>
                </c:pt>
                <c:pt idx="11">
                  <c:v>-0.23834857977742</c:v>
                </c:pt>
                <c:pt idx="12">
                  <c:v>-0.23834857977742</c:v>
                </c:pt>
              </c:numCache>
            </c:numRef>
          </c:xVal>
          <c:yVal>
            <c:numRef>
              <c:f>DIBUJO!$H$4:$H$16</c:f>
              <c:numCache>
                <c:formatCode>General</c:formatCode>
                <c:ptCount val="13"/>
                <c:pt idx="0">
                  <c:v>0.687577346148506</c:v>
                </c:pt>
                <c:pt idx="1">
                  <c:v>0.687577346148506</c:v>
                </c:pt>
                <c:pt idx="2">
                  <c:v>0.655307280707017</c:v>
                </c:pt>
                <c:pt idx="3">
                  <c:v>0.655307280707017</c:v>
                </c:pt>
                <c:pt idx="4">
                  <c:v>-0.893655860484437</c:v>
                </c:pt>
                <c:pt idx="5">
                  <c:v>-0.893655860484437</c:v>
                </c:pt>
                <c:pt idx="6">
                  <c:v>-0.925925925925926</c:v>
                </c:pt>
                <c:pt idx="7">
                  <c:v>-0.925925925925926</c:v>
                </c:pt>
                <c:pt idx="8">
                  <c:v>-0.893655860484437</c:v>
                </c:pt>
                <c:pt idx="9">
                  <c:v>-0.893655860484437</c:v>
                </c:pt>
                <c:pt idx="10">
                  <c:v>0.655307280707017</c:v>
                </c:pt>
                <c:pt idx="11">
                  <c:v>0.655307280707017</c:v>
                </c:pt>
                <c:pt idx="12">
                  <c:v>0.687577346148506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"Pernos sup."</c:f>
              <c:strCache>
                <c:ptCount val="1"/>
                <c:pt idx="0">
                  <c:v>Pernos sup.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DIBUJO!$J$4:$J$9</c:f>
              <c:numCache>
                <c:formatCode>General</c:formatCode>
                <c:ptCount val="6"/>
                <c:pt idx="0">
                  <c:v>-0.145657465419534</c:v>
                </c:pt>
                <c:pt idx="1">
                  <c:v>0.145657465419534</c:v>
                </c:pt>
                <c:pt idx="2">
                  <c:v>-0.145657465419534</c:v>
                </c:pt>
                <c:pt idx="3">
                  <c:v>0.145657465419534</c:v>
                </c:pt>
                <c:pt idx="4">
                  <c:v>-0.145657465419534</c:v>
                </c:pt>
                <c:pt idx="5">
                  <c:v>0.145657465419534</c:v>
                </c:pt>
              </c:numCache>
            </c:numRef>
          </c:xVal>
          <c:yVal>
            <c:numRef>
              <c:f>DIBUJO!$K$4:$K$9</c:f>
              <c:numCache>
                <c:formatCode>General</c:formatCode>
                <c:ptCount val="6"/>
                <c:pt idx="0">
                  <c:v>0.819993223802628</c:v>
                </c:pt>
                <c:pt idx="1">
                  <c:v>0.819993223802628</c:v>
                </c:pt>
                <c:pt idx="2">
                  <c:v>0.522891403052895</c:v>
                </c:pt>
                <c:pt idx="3">
                  <c:v>0.522891403052895</c:v>
                </c:pt>
                <c:pt idx="4">
                  <c:v>0.522891403052895</c:v>
                </c:pt>
                <c:pt idx="5">
                  <c:v>0.522891403052895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"Pernos inf."</c:f>
              <c:strCache>
                <c:ptCount val="1"/>
                <c:pt idx="0">
                  <c:v>Pernos inf.</c:v>
                </c:pt>
              </c:strCache>
            </c:strRef>
          </c:tx>
          <c:spPr>
            <a:solidFill>
              <a:srgbClr val="00b05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DIBUJO!$M$4:$M$9</c:f>
              <c:numCache>
                <c:formatCode>General</c:formatCode>
                <c:ptCount val="6"/>
                <c:pt idx="0">
                  <c:v>-0.145657465419534</c:v>
                </c:pt>
                <c:pt idx="1">
                  <c:v>0.145657465419534</c:v>
                </c:pt>
                <c:pt idx="2">
                  <c:v>-0.145657465419534</c:v>
                </c:pt>
                <c:pt idx="3">
                  <c:v>0.145657465419534</c:v>
                </c:pt>
                <c:pt idx="4">
                  <c:v>-0.145657465419534</c:v>
                </c:pt>
                <c:pt idx="5">
                  <c:v>0.145657465419534</c:v>
                </c:pt>
              </c:numCache>
            </c:numRef>
          </c:xVal>
          <c:yVal>
            <c:numRef>
              <c:f>DIBUJO!$N$4:$N$9</c:f>
              <c:numCache>
                <c:formatCode>General</c:formatCode>
                <c:ptCount val="6"/>
                <c:pt idx="0">
                  <c:v>-0.761239982830315</c:v>
                </c:pt>
                <c:pt idx="1">
                  <c:v>-0.761239982830315</c:v>
                </c:pt>
                <c:pt idx="2">
                  <c:v>-0.761239982830315</c:v>
                </c:pt>
                <c:pt idx="3">
                  <c:v>-0.761239982830315</c:v>
                </c:pt>
                <c:pt idx="4">
                  <c:v>-0.761239982830315</c:v>
                </c:pt>
                <c:pt idx="5">
                  <c:v>-0.761239982830315</c:v>
                </c:pt>
              </c:numCache>
            </c:numRef>
          </c:yVal>
          <c:smooth val="0"/>
        </c:ser>
        <c:axId val="82028537"/>
        <c:axId val="80896656"/>
      </c:scatterChart>
      <c:valAx>
        <c:axId val="82028537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96656"/>
        <c:crosses val="autoZero"/>
        <c:crossBetween val="midCat"/>
      </c:valAx>
      <c:valAx>
        <c:axId val="80896656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285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"Columna"</c:f>
              <c:strCache>
                <c:ptCount val="1"/>
                <c:pt idx="0">
                  <c:v>Columna</c:v>
                </c:pt>
              </c:strCache>
            </c:strRef>
          </c:tx>
          <c:spPr>
            <a:solidFill>
              <a:srgbClr val="a6a6a6"/>
            </a:solidFill>
            <a:ln w="1584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DIBUJO!$P$4:$P$8</c:f>
              <c:numCache>
                <c:formatCode>General</c:formatCode>
                <c:ptCount val="5"/>
                <c:pt idx="0">
                  <c:v>-0.952380952380952</c:v>
                </c:pt>
                <c:pt idx="1">
                  <c:v>-0.952380952380952</c:v>
                </c:pt>
                <c:pt idx="2">
                  <c:v>-0.311048260381594</c:v>
                </c:pt>
                <c:pt idx="3">
                  <c:v>-0.311048260381594</c:v>
                </c:pt>
                <c:pt idx="4">
                  <c:v>-0.952380952380952</c:v>
                </c:pt>
              </c:numCache>
            </c:numRef>
          </c:xVal>
          <c:yVal>
            <c:numRef>
              <c:f>DIBUJO!$Q$4:$Q$8</c:f>
              <c:numCache>
                <c:formatCode>General</c:formatCode>
                <c:ptCount val="5"/>
                <c:pt idx="0">
                  <c:v>-0.519003345923647</c:v>
                </c:pt>
                <c:pt idx="1">
                  <c:v>0.54465670491034</c:v>
                </c:pt>
                <c:pt idx="2">
                  <c:v>0.54465670491034</c:v>
                </c:pt>
                <c:pt idx="3">
                  <c:v>-0.519003345923647</c:v>
                </c:pt>
                <c:pt idx="4">
                  <c:v>-0.519003345923647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 int."</c:f>
              <c:strCache>
                <c:ptCount val="1"/>
                <c:pt idx="0">
                  <c:v>Ala int.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DIBUJO!$S$4:$S$5</c:f>
              <c:numCache>
                <c:formatCode>General</c:formatCode>
                <c:ptCount val="2"/>
                <c:pt idx="0">
                  <c:v>-0.330286996953664</c:v>
                </c:pt>
                <c:pt idx="1">
                  <c:v>-0.330286996953664</c:v>
                </c:pt>
              </c:numCache>
            </c:numRef>
          </c:xVal>
          <c:yVal>
            <c:numRef>
              <c:f>DIBUJO!$T$4:$T$5</c:f>
              <c:numCache>
                <c:formatCode>General</c:formatCode>
                <c:ptCount val="2"/>
                <c:pt idx="0">
                  <c:v>-0.519003345923647</c:v>
                </c:pt>
                <c:pt idx="1">
                  <c:v>0.54465670491034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 ext."</c:f>
              <c:strCache>
                <c:ptCount val="1"/>
                <c:pt idx="0">
                  <c:v>Ala ext.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DIBUJO!$V$4:$V$5</c:f>
              <c:numCache>
                <c:formatCode>General</c:formatCode>
                <c:ptCount val="2"/>
                <c:pt idx="0">
                  <c:v>-0.933140933140933</c:v>
                </c:pt>
                <c:pt idx="1">
                  <c:v>-0.933140933140933</c:v>
                </c:pt>
              </c:numCache>
            </c:numRef>
          </c:xVal>
          <c:yVal>
            <c:numRef>
              <c:f>DIBUJO!$W$4:$W$5</c:f>
              <c:numCache>
                <c:formatCode>General</c:formatCode>
                <c:ptCount val="2"/>
                <c:pt idx="0">
                  <c:v>-0.519003345923647</c:v>
                </c:pt>
                <c:pt idx="1">
                  <c:v>0.54465670491034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DIBUJO!$Y$4:$Y$8</c:f>
              <c:numCache>
                <c:formatCode>General</c:formatCode>
                <c:ptCount val="5"/>
                <c:pt idx="0">
                  <c:v>-0.311046977713644</c:v>
                </c:pt>
                <c:pt idx="1">
                  <c:v>-0.311046977713644</c:v>
                </c:pt>
                <c:pt idx="2">
                  <c:v>-0.278980278980279</c:v>
                </c:pt>
                <c:pt idx="3">
                  <c:v>-0.278980278980279</c:v>
                </c:pt>
                <c:pt idx="4">
                  <c:v>-0.311046977713644</c:v>
                </c:pt>
              </c:numCache>
            </c:numRef>
          </c:xVal>
          <c:yVal>
            <c:numRef>
              <c:f>DIBUJO!$Z$4:$Z$8</c:f>
              <c:numCache>
                <c:formatCode>General</c:formatCode>
                <c:ptCount val="5"/>
                <c:pt idx="0">
                  <c:v>-0.390736550990186</c:v>
                </c:pt>
                <c:pt idx="1">
                  <c:v>0.506176666430301</c:v>
                </c:pt>
                <c:pt idx="2">
                  <c:v>0.506176666430301</c:v>
                </c:pt>
                <c:pt idx="3">
                  <c:v>-0.390736550990186</c:v>
                </c:pt>
                <c:pt idx="4">
                  <c:v>-0.390736550990186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"Placa gemela"</c:f>
              <c:strCache>
                <c:ptCount val="1"/>
                <c:pt idx="0">
                  <c:v>Placa gemela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DIBUJO!$AB$4:$AB$8</c:f>
              <c:numCache>
                <c:formatCode>General</c:formatCode>
                <c:ptCount val="5"/>
                <c:pt idx="0">
                  <c:v>-0.311046977713644</c:v>
                </c:pt>
                <c:pt idx="1">
                  <c:v>-0.311046977713644</c:v>
                </c:pt>
                <c:pt idx="2">
                  <c:v>-0.311046977713644</c:v>
                </c:pt>
                <c:pt idx="3">
                  <c:v>-0.311046977713644</c:v>
                </c:pt>
                <c:pt idx="4">
                  <c:v>-0.311046977713644</c:v>
                </c:pt>
              </c:numCache>
            </c:numRef>
          </c:xVal>
          <c:yVal>
            <c:numRef>
              <c:f>DIBUJO!$AC$4:$AC$8</c:f>
              <c:numCache>
                <c:formatCode>General</c:formatCode>
                <c:ptCount val="5"/>
                <c:pt idx="0">
                  <c:v>-0</c:v>
                </c:pt>
                <c:pt idx="1">
                  <c:v>0</c:v>
                </c:pt>
                <c:pt idx="2">
                  <c:v>0</c:v>
                </c:pt>
                <c:pt idx="3">
                  <c:v>-0</c:v>
                </c:pt>
                <c:pt idx="4">
                  <c:v>-0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"Ala sup der"</c:f>
              <c:strCache>
                <c:ptCount val="1"/>
                <c:pt idx="0">
                  <c:v>Ala sup der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DIBUJO!$AE$4:$AE$5</c:f>
              <c:numCache>
                <c:formatCode>General</c:formatCode>
                <c:ptCount val="2"/>
                <c:pt idx="0">
                  <c:v>-0.278980278980279</c:v>
                </c:pt>
                <c:pt idx="1">
                  <c:v>0.952380952380952</c:v>
                </c:pt>
              </c:numCache>
            </c:numRef>
          </c:xVal>
          <c:yVal>
            <c:numRef>
              <c:f>DIBUJO!$AF$4:$AF$5</c:f>
              <c:numCache>
                <c:formatCode>General</c:formatCode>
                <c:ptCount val="2"/>
                <c:pt idx="0">
                  <c:v>0.390736550990186</c:v>
                </c:pt>
                <c:pt idx="1">
                  <c:v>0.607858759077569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"Ala inf der"</c:f>
              <c:strCache>
                <c:ptCount val="1"/>
                <c:pt idx="0">
                  <c:v>Ala inf der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DIBUJO!$AH$4:$AH$6</c:f>
              <c:numCache>
                <c:formatCode>General</c:formatCode>
                <c:ptCount val="3"/>
                <c:pt idx="0">
                  <c:v>-0.278980278980279</c:v>
                </c:pt>
                <c:pt idx="1">
                  <c:v>0.952380952380952</c:v>
                </c:pt>
                <c:pt idx="2">
                  <c:v>0.952380952380952</c:v>
                </c:pt>
              </c:numCache>
            </c:numRef>
          </c:xVal>
          <c:yVal>
            <c:numRef>
              <c:f>DIBUJO!$AI$4:$AI$6</c:f>
              <c:numCache>
                <c:formatCode>General</c:formatCode>
                <c:ptCount val="3"/>
                <c:pt idx="0">
                  <c:v>-0.390736550990186</c:v>
                </c:pt>
                <c:pt idx="1">
                  <c:v>0.086876691090655</c:v>
                </c:pt>
                <c:pt idx="2">
                  <c:v>0.086876691090655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"Ala sup izq"</c:f>
              <c:strCache>
                <c:ptCount val="1"/>
                <c:pt idx="0">
                  <c:v>Ala sup izq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DIBUJO!$AK$4:$AK$5</c:f>
              <c:numCache>
                <c:formatCode>General</c:formatCode>
                <c:ptCount val="2"/>
                <c:pt idx="0">
                  <c:v>-0.311046977713644</c:v>
                </c:pt>
                <c:pt idx="1">
                  <c:v>-0.311046977713644</c:v>
                </c:pt>
              </c:numCache>
            </c:numRef>
          </c:xVal>
          <c:yVal>
            <c:numRef>
              <c:f>DIBUJO!$AL$4:$AL$5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"Ala inf izq"</c:f>
              <c:strCache>
                <c:ptCount val="1"/>
                <c:pt idx="0">
                  <c:v>Ala inf izq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DIBUJO!$AN$4:$AN$6</c:f>
              <c:numCache>
                <c:formatCode>General</c:formatCode>
                <c:ptCount val="3"/>
                <c:pt idx="0">
                  <c:v>-0.311046977713644</c:v>
                </c:pt>
                <c:pt idx="1">
                  <c:v>-0.311046977713644</c:v>
                </c:pt>
                <c:pt idx="2">
                  <c:v>-0.311046977713644</c:v>
                </c:pt>
              </c:numCache>
            </c:numRef>
          </c:xVal>
          <c:yVal>
            <c:numRef>
              <c:f>DIBUJO!$AO$4:$AO$6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"Cont. sup"</c:f>
              <c:strCache>
                <c:ptCount val="1"/>
                <c:pt idx="0">
                  <c:v>Cont. sup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DIBUJO!$AQ$4:$AQ$5</c:f>
              <c:numCache>
                <c:formatCode>General</c:formatCode>
                <c:ptCount val="2"/>
                <c:pt idx="0">
                  <c:v>-0.933140933140933</c:v>
                </c:pt>
                <c:pt idx="1">
                  <c:v>-0.330286996953664</c:v>
                </c:pt>
              </c:numCache>
            </c:numRef>
          </c:xVal>
          <c:yVal>
            <c:numRef>
              <c:f>DIBUJO!$AR$4:$AR$5</c:f>
              <c:numCache>
                <c:formatCode>General</c:formatCode>
                <c:ptCount val="2"/>
                <c:pt idx="0">
                  <c:v>0.382921819970382</c:v>
                </c:pt>
                <c:pt idx="1">
                  <c:v>0.382921819970382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"Cont. inf"</c:f>
              <c:strCache>
                <c:ptCount val="1"/>
                <c:pt idx="0">
                  <c:v>Cont. inf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DIBUJO!$AT$4:$AT$5</c:f>
              <c:numCache>
                <c:formatCode>General</c:formatCode>
                <c:ptCount val="2"/>
                <c:pt idx="0">
                  <c:v>-0.933140933140933</c:v>
                </c:pt>
                <c:pt idx="1">
                  <c:v>-0.330286996953664</c:v>
                </c:pt>
              </c:numCache>
            </c:numRef>
          </c:xVal>
          <c:yVal>
            <c:numRef>
              <c:f>DIBUJO!$AU$4:$AU$5</c:f>
              <c:numCache>
                <c:formatCode>General</c:formatCode>
                <c:ptCount val="2"/>
                <c:pt idx="0">
                  <c:v>-0.382921819970382</c:v>
                </c:pt>
                <c:pt idx="1">
                  <c:v>-0.382921819970382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"Pernos L"</c:f>
              <c:strCache>
                <c:ptCount val="1"/>
                <c:pt idx="0">
                  <c:v>Pernos L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10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DIBUJO!$AW$4:$AW$9</c:f>
              <c:numCache>
                <c:formatCode>General</c:formatCode>
                <c:ptCount val="6"/>
                <c:pt idx="0">
                  <c:v>-0.304633637966971</c:v>
                </c:pt>
                <c:pt idx="1">
                  <c:v>-0.304633637966971</c:v>
                </c:pt>
                <c:pt idx="2">
                  <c:v>-0.304633637966971</c:v>
                </c:pt>
                <c:pt idx="3">
                  <c:v>-0.304633637966971</c:v>
                </c:pt>
                <c:pt idx="4">
                  <c:v>-0.304633637966971</c:v>
                </c:pt>
                <c:pt idx="5">
                  <c:v>-0.304633637966971</c:v>
                </c:pt>
              </c:numCache>
            </c:numRef>
          </c:xVal>
          <c:yVal>
            <c:numRef>
              <c:f>DIBUJO!$AX$4:$AX$9</c:f>
              <c:numCache>
                <c:formatCode>General</c:formatCode>
                <c:ptCount val="6"/>
                <c:pt idx="0">
                  <c:v>0.454869948456916</c:v>
                </c:pt>
                <c:pt idx="1">
                  <c:v>0.310973691483847</c:v>
                </c:pt>
                <c:pt idx="2">
                  <c:v>0.310973691483847</c:v>
                </c:pt>
                <c:pt idx="3">
                  <c:v>-0.310973691483847</c:v>
                </c:pt>
                <c:pt idx="4">
                  <c:v>-0.310973691483847</c:v>
                </c:pt>
                <c:pt idx="5">
                  <c:v>-0.310973691483847</c:v>
                </c:pt>
              </c:numCache>
            </c:numRef>
          </c:yVal>
          <c:smooth val="0"/>
        </c:ser>
        <c:axId val="14908065"/>
        <c:axId val="86314364"/>
      </c:scatterChart>
      <c:valAx>
        <c:axId val="14908065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14364"/>
        <c:crosses val="autoZero"/>
        <c:crossBetween val="midCat"/>
      </c:valAx>
      <c:valAx>
        <c:axId val="86314364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080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472680</xdr:colOff>
      <xdr:row>18</xdr:row>
      <xdr:rowOff>89640</xdr:rowOff>
    </xdr:to>
    <xdr:graphicFrame>
      <xdr:nvGraphicFramePr>
        <xdr:cNvPr id="0" name="Chart 1"/>
        <xdr:cNvGraphicFramePr/>
      </xdr:nvGraphicFramePr>
      <xdr:xfrm>
        <a:off x="504072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18</xdr:row>
      <xdr:rowOff>89640</xdr:rowOff>
    </xdr:to>
    <xdr:graphicFrame>
      <xdr:nvGraphicFramePr>
        <xdr:cNvPr id="1" name="Chart 2"/>
        <xdr:cNvGraphicFramePr/>
      </xdr:nvGraphicFramePr>
      <xdr:xfrm>
        <a:off x="764856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5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.51"/>
    <col collapsed="false" customWidth="true" hidden="false" outlineLevel="0" max="14" min="14" style="0" width="38"/>
    <col collapsed="false" customWidth="true" hidden="false" outlineLevel="0" max="15" min="15" style="0" width="18"/>
    <col collapsed="false" customWidth="true" hidden="false" outlineLevel="0" max="18" min="16" style="0" width="10"/>
    <col collapsed="false" customWidth="true" hidden="false" outlineLevel="0" max="19" min="19" style="0" width="8"/>
    <col collapsed="false" customWidth="true" hidden="false" outlineLevel="0" max="21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IF(COUNT(S12:S44)=0,"SIN CARGAS",IF(MAX(S12:S44)&gt;1,"✖  NO CUMPLE — ratio máx. "&amp;TEXT(MAX(S12:S44),"0.00"),IF(MAX(S12:S44)&gt;lim_verde,"▲  CUMPLE AL LÍMITE — ratio máx. "&amp;TEXT(MAX(S12:S44),"0.00"),"✔  CUMPLE — ratio máx. "&amp;TEXT(MAX(S12:S44),"0.00"))))</f>
        <v>✔  CUMPLE — ratio máx. 0.90</v>
      </c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15" hidden="false" customHeight="fals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  <c r="U10" s="12" t="s">
        <v>23</v>
      </c>
    </row>
    <row r="11" customFormat="false" ht="15" hidden="false" customHeight="false" outlineLevel="0" collapsed="false">
      <c r="B11" s="7" t="s">
        <v>24</v>
      </c>
      <c r="C11" s="13" t="s">
        <v>25</v>
      </c>
      <c r="D11" s="13"/>
      <c r="E11" s="13"/>
      <c r="N11" s="14" t="s">
        <v>26</v>
      </c>
      <c r="O11" s="14"/>
      <c r="P11" s="14"/>
      <c r="Q11" s="14"/>
      <c r="R11" s="14"/>
      <c r="S11" s="14"/>
      <c r="T11" s="14"/>
      <c r="U11" s="14"/>
    </row>
    <row r="12" customFormat="false" ht="15" hidden="false" customHeight="false" outlineLevel="0" collapsed="false">
      <c r="B12" s="7" t="s">
        <v>27</v>
      </c>
      <c r="C12" s="13" t="s">
        <v>28</v>
      </c>
      <c r="D12" s="13"/>
      <c r="E12" s="13"/>
      <c r="N12" s="15" t="s">
        <v>29</v>
      </c>
      <c r="O12" s="16" t="s">
        <v>30</v>
      </c>
      <c r="P12" s="17" t="n">
        <f aca="false">INDEX(CALCULO!$D$103:$M$103,MATCH(MAX(CALCULO!$D$107:$M$107),CALCULO!$D$107:$M$107,0))/100000</f>
        <v>16.3369608601339</v>
      </c>
      <c r="Q12" s="17" t="n">
        <f aca="false">INDEX(CALCULO!$D$106:$M$106,MATCH(MAX(CALCULO!$D$107:$M$107),CALCULO!$D$107:$M$107,0))/1</f>
        <v>43.9730928646768</v>
      </c>
      <c r="R12" s="18" t="s">
        <v>31</v>
      </c>
      <c r="S12" s="19" t="n">
        <f aca="false">MAX(CALCULO!$D$107:$M$107)</f>
        <v>0.371521760145673</v>
      </c>
      <c r="T12" s="20" t="str">
        <f aca="false">IF(ISNUMBER(S12),IF(S12&gt;1,"NO CUMPLE",IF(S12&gt;lim_verde,"AL LÍMITE","CUMPLE")),"N/A")</f>
        <v>CUMPLE</v>
      </c>
      <c r="U12" s="18" t="str">
        <f aca="false">IF(ISNUMBER(S12),INDEX(CALCULO!$D$95:$M$95,MATCH(MAX(CALCULO!$D$107:$M$107),CALCULO!$D$107:$M$107,0)),"—")</f>
        <v>1.2D+1.6Lr</v>
      </c>
    </row>
    <row r="13" customFormat="false" ht="15" hidden="false" customHeight="false" outlineLevel="0" collapsed="false">
      <c r="B13" s="7" t="s">
        <v>32</v>
      </c>
      <c r="C13" s="13" t="s">
        <v>33</v>
      </c>
      <c r="D13" s="13"/>
      <c r="E13" s="13"/>
      <c r="N13" s="15" t="s">
        <v>34</v>
      </c>
      <c r="O13" s="16" t="s">
        <v>35</v>
      </c>
      <c r="P13" s="17" t="n">
        <f aca="false">INDEX(CALCULO!$D$108:$M$108,MATCH(MAX(CALCULO!$D$110:$M$110),CALCULO!$D$110:$M$110,0))/1</f>
        <v>48.8101330797912</v>
      </c>
      <c r="Q13" s="17" t="n">
        <f aca="false">INDEX(CALCULO!$D$109:$M$109,MATCH(MAX(CALCULO!$D$110:$M$110),CALCULO!$D$110:$M$110,0))/1</f>
        <v>84.8014094426436</v>
      </c>
      <c r="R13" s="18" t="s">
        <v>31</v>
      </c>
      <c r="S13" s="19" t="n">
        <f aca="false">MAX(CALCULO!$D$110:$M$110)</f>
        <v>0.575581625359712</v>
      </c>
      <c r="T13" s="20" t="str">
        <f aca="false">IF(ISNUMBER(S13),IF(S13&gt;1,"NO CUMPLE",IF(S13&gt;lim_verde,"AL LÍMITE","CUMPLE")),"N/A")</f>
        <v>CUMPLE</v>
      </c>
      <c r="U13" s="18" t="str">
        <f aca="false">IF(ISNUMBER(S13),INDEX(CALCULO!$D$95:$M$95,MATCH(MAX(CALCULO!$D$110:$M$110),CALCULO!$D$110:$M$110,0)),"—")</f>
        <v>1.2D+1.6Lr</v>
      </c>
    </row>
    <row r="14" customFormat="false" ht="15" hidden="false" customHeight="false" outlineLevel="0" collapsed="false">
      <c r="B14" s="7" t="s">
        <v>36</v>
      </c>
      <c r="C14" s="21" t="n">
        <v>10</v>
      </c>
      <c r="D14" s="11" t="s">
        <v>37</v>
      </c>
      <c r="N14" s="15" t="s">
        <v>38</v>
      </c>
      <c r="O14" s="16" t="s">
        <v>39</v>
      </c>
      <c r="P14" s="17" t="n">
        <f aca="false">IF(AND(cfg_u&lt;&gt;"Extendida — 1+1 (4E)",cfg_d&lt;&gt;"Extendida — 1+1 (4E)"),"—",INDEX(CALCULO!$D$104:$M$104,MATCH(MAX(CALCULO!$D$113:$M$113),CALCULO!$D$113:$M$113,0))/2000)</f>
        <v>13.6809232276504</v>
      </c>
      <c r="Q14" s="17" t="n">
        <f aca="false">IF(AND(cfg_u&lt;&gt;"Extendida — 1+1 (4E)",cfg_d&lt;&gt;"Extendida — 1+1 (4E)"),"—",r_Rsy/1000)</f>
        <v>105.45</v>
      </c>
      <c r="R14" s="18" t="s">
        <v>40</v>
      </c>
      <c r="S14" s="19" t="n">
        <f aca="false">IF(AND(cfg_u&lt;&gt;"Extendida — 1+1 (4E)",cfg_d&lt;&gt;"Extendida — 1+1 (4E)"),"N/A",MAX(CALCULO!$D$113:$M$113))</f>
        <v>0.129738484852066</v>
      </c>
      <c r="T14" s="20" t="str">
        <f aca="false">IF(ISNUMBER(S14),IF(S14&gt;1,"NO CUMPLE",IF(S14&gt;lim_verde,"AL LÍMITE","CUMPLE")),"N/A")</f>
        <v>CUMPLE</v>
      </c>
      <c r="U14" s="18" t="str">
        <f aca="false">IF(ISNUMBER(S14),INDEX(CALCULO!$D$95:$M$95,MATCH(MAX(CALCULO!$D$113:$M$113),CALCULO!$D$113:$M$113,0)),"—")</f>
        <v>1.2D+1.6Lr</v>
      </c>
    </row>
    <row r="15" customFormat="false" ht="15" hidden="false" customHeight="false" outlineLevel="0" collapsed="false">
      <c r="B15" s="7" t="s">
        <v>41</v>
      </c>
      <c r="C15" s="13" t="s">
        <v>42</v>
      </c>
      <c r="D15" s="13"/>
      <c r="E15" s="13"/>
      <c r="N15" s="15" t="s">
        <v>43</v>
      </c>
      <c r="O15" s="16" t="s">
        <v>44</v>
      </c>
      <c r="P15" s="17" t="n">
        <f aca="false">IF(AND(cfg_u&lt;&gt;"Extendida — 1+1 (4E)",cfg_d&lt;&gt;"Extendida — 1+1 (4E)"),"—",INDEX(CALCULO!$D$104:$M$104,MATCH(MAX(CALCULO!$D$114:$M$114),CALCULO!$D$114:$M$114,0))/2000)</f>
        <v>13.6809232276504</v>
      </c>
      <c r="Q15" s="17" t="n">
        <f aca="false">IF(AND(cfg_u&lt;&gt;"Extendida — 1+1 (4E)",cfg_d&lt;&gt;"Extendida — 1+1 (4E)"),"—",r_Rsr/1000)</f>
        <v>76.70745</v>
      </c>
      <c r="R15" s="18" t="s">
        <v>40</v>
      </c>
      <c r="S15" s="19" t="n">
        <f aca="false">IF(AND(cfg_u&lt;&gt;"Extendida — 1+1 (4E)",cfg_d&lt;&gt;"Extendida — 1+1 (4E)"),"N/A",MAX(CALCULO!$D$114:$M$114))</f>
        <v>0.178351949225927</v>
      </c>
      <c r="T15" s="20" t="str">
        <f aca="false">IF(ISNUMBER(S15),IF(S15&gt;1,"NO CUMPLE",IF(S15&gt;lim_verde,"AL LÍMITE","CUMPLE")),"N/A")</f>
        <v>CUMPLE</v>
      </c>
      <c r="U15" s="18" t="str">
        <f aca="false">IF(ISNUMBER(S15),INDEX(CALCULO!$D$95:$M$95,MATCH(MAX(CALCULO!$D$114:$M$114),CALCULO!$D$114:$M$114,0)),"—")</f>
        <v>1.2D+1.6Lr</v>
      </c>
    </row>
    <row r="16" customFormat="false" ht="15" hidden="false" customHeight="false" outlineLevel="0" collapsed="false">
      <c r="B16" s="2" t="s">
        <v>45</v>
      </c>
      <c r="C16" s="2"/>
      <c r="D16" s="2"/>
      <c r="E16" s="2"/>
      <c r="N16" s="15" t="s">
        <v>46</v>
      </c>
      <c r="O16" s="16" t="s">
        <v>47</v>
      </c>
      <c r="P16" s="17" t="n">
        <f aca="false">INDEX(CALCULO!$D$102:$M$102,MATCH(MAX(CALCULO!$D$116:$M$116),CALCULO!$D$116:$M$116,0))/1000</f>
        <v>7.09584310524707</v>
      </c>
      <c r="Q16" s="17" t="n">
        <f aca="false">INDEX(CALCULO!$D$115:$M$115,MATCH(MAX(CALCULO!$D$116:$M$116),CALCULO!$D$116:$M$116,0))/1</f>
        <v>22.0955734238735</v>
      </c>
      <c r="R16" s="18" t="s">
        <v>40</v>
      </c>
      <c r="S16" s="19" t="n">
        <f aca="false">MAX(CALCULO!$D$116:$M$116)</f>
        <v>0.321143197740244</v>
      </c>
      <c r="T16" s="20" t="str">
        <f aca="false">IF(ISNUMBER(S16),IF(S16&gt;1,"NO CUMPLE",IF(S16&gt;lim_verde,"AL LÍMITE","CUMPLE")),"N/A")</f>
        <v>CUMPLE</v>
      </c>
      <c r="U16" s="18" t="str">
        <f aca="false">IF(ISNUMBER(S16),INDEX(CALCULO!$D$95:$M$95,MATCH(MAX(CALCULO!$D$116:$M$116),CALCULO!$D$116:$M$116,0)),"—")</f>
        <v>1.2D+1.6Lr</v>
      </c>
    </row>
    <row r="17" customFormat="false" ht="15" hidden="false" customHeight="false" outlineLevel="0" collapsed="false">
      <c r="B17" s="7" t="s">
        <v>48</v>
      </c>
      <c r="C17" s="13" t="s">
        <v>49</v>
      </c>
      <c r="D17" s="13"/>
      <c r="E17" s="3" t="s">
        <v>50</v>
      </c>
      <c r="N17" s="15" t="s">
        <v>51</v>
      </c>
      <c r="O17" s="16" t="s">
        <v>52</v>
      </c>
      <c r="P17" s="17" t="n">
        <f aca="false">INDEX(CALCULO!$D$102:$M$102,MATCH(MAX(CALCULO!$D$118:$M$118),CALCULO!$D$118:$M$118,0))/1000</f>
        <v>7.09584310524707</v>
      </c>
      <c r="Q17" s="17" t="n">
        <f aca="false">INDEX(CALCULO!$D$117:$M$117,MATCH(MAX(CALCULO!$D$118:$M$118),CALCULO!$D$118:$M$118,0))/1</f>
        <v>91.411425</v>
      </c>
      <c r="R17" s="18" t="s">
        <v>40</v>
      </c>
      <c r="S17" s="19" t="n">
        <f aca="false">MAX(CALCULO!$D$118:$M$118)</f>
        <v>0.0776253417474574</v>
      </c>
      <c r="T17" s="20" t="str">
        <f aca="false">IF(ISNUMBER(S17),IF(S17&gt;1,"NO CUMPLE",IF(S17&gt;lim_verde,"AL LÍMITE","CUMPLE")),"N/A")</f>
        <v>CUMPLE</v>
      </c>
      <c r="U17" s="18" t="str">
        <f aca="false">IF(ISNUMBER(S17),INDEX(CALCULO!$D$95:$M$95,MATCH(MAX(CALCULO!$D$118:$M$118),CALCULO!$D$118:$M$118,0)),"—")</f>
        <v>1.2D+1.6Lr</v>
      </c>
    </row>
    <row r="18" customFormat="false" ht="15" hidden="false" customHeight="false" outlineLevel="0" collapsed="false">
      <c r="B18" s="7" t="s">
        <v>53</v>
      </c>
      <c r="C18" s="22" t="n">
        <f aca="false">IF(vg_perfil="ARMADO (flejes soldados)",E18,INDEX(CATALOGOS!$B$5:$B$40,MATCH(vg_perfil,CATALOGOS!$A$5:$A$40,0)))</f>
        <v>400</v>
      </c>
      <c r="D18" s="11" t="s">
        <v>54</v>
      </c>
      <c r="E18" s="13" t="n">
        <v>400</v>
      </c>
      <c r="N18" s="15" t="s">
        <v>55</v>
      </c>
      <c r="O18" s="16" t="s">
        <v>52</v>
      </c>
      <c r="P18" s="17" t="n">
        <f aca="false">INDEX(CALCULO!$D$102:$M$102,MATCH(MAX(CALCULO!$D$120:$M$120),CALCULO!$D$120:$M$120,0))/1000</f>
        <v>7.09584310524707</v>
      </c>
      <c r="Q18" s="17" t="n">
        <f aca="false">INDEX(CALCULO!$D$119:$M$119,MATCH(MAX(CALCULO!$D$120:$M$120),CALCULO!$D$120:$M$120,0))/1</f>
        <v>54.846855</v>
      </c>
      <c r="R18" s="18" t="s">
        <v>40</v>
      </c>
      <c r="S18" s="19" t="n">
        <f aca="false">MAX(CALCULO!$D$120:$M$120)</f>
        <v>0.129375569579096</v>
      </c>
      <c r="T18" s="20" t="str">
        <f aca="false">IF(ISNUMBER(S18),IF(S18&gt;1,"NO CUMPLE",IF(S18&gt;lim_verde,"AL LÍMITE","CUMPLE")),"N/A")</f>
        <v>CUMPLE</v>
      </c>
      <c r="U18" s="18" t="str">
        <f aca="false">IF(ISNUMBER(S18),INDEX(CALCULO!$D$95:$M$95,MATCH(MAX(CALCULO!$D$120:$M$120),CALCULO!$D$120:$M$120,0)),"—")</f>
        <v>1.2D+1.6Lr</v>
      </c>
    </row>
    <row r="19" customFormat="false" ht="15" hidden="false" customHeight="false" outlineLevel="0" collapsed="false">
      <c r="B19" s="7" t="s">
        <v>56</v>
      </c>
      <c r="C19" s="22" t="n">
        <f aca="false">IF(vg_perfil="ARMADO (flejes soldados)",E19,INDEX(CATALOGOS!$C$5:$C$40,MATCH(vg_perfil,CATALOGOS!$A$5:$A$40,0)))</f>
        <v>180</v>
      </c>
      <c r="D19" s="11" t="s">
        <v>54</v>
      </c>
      <c r="E19" s="13" t="n">
        <v>180</v>
      </c>
      <c r="N19" s="14" t="s">
        <v>57</v>
      </c>
      <c r="O19" s="14"/>
      <c r="P19" s="14"/>
      <c r="Q19" s="14"/>
      <c r="R19" s="14"/>
      <c r="S19" s="14"/>
      <c r="T19" s="14"/>
      <c r="U19" s="14"/>
    </row>
    <row r="20" customFormat="false" ht="15" hidden="false" customHeight="false" outlineLevel="0" collapsed="false">
      <c r="B20" s="7" t="s">
        <v>58</v>
      </c>
      <c r="C20" s="22" t="n">
        <f aca="false">IF(vg_perfil="ARMADO (flejes soldados)",E20,INDEX(CATALOGOS!$D$5:$D$40,MATCH(vg_perfil,CATALOGOS!$A$5:$A$40,0)))</f>
        <v>6</v>
      </c>
      <c r="D20" s="11" t="s">
        <v>54</v>
      </c>
      <c r="E20" s="13" t="n">
        <v>6</v>
      </c>
      <c r="J20" s="23" t="str">
        <f aca="false">IF(t_rod=1,"Rodilla: columna a la izquierda","Cumbrera: dos placas gemelas")</f>
        <v>Rodilla: columna a la izquierda</v>
      </c>
      <c r="N20" s="15" t="s">
        <v>59</v>
      </c>
      <c r="O20" s="16" t="s">
        <v>60</v>
      </c>
      <c r="P20" s="17" t="n">
        <f aca="false">INDEX(CALCULO!$D$104:$M$104,MATCH(MAX(CALCULO!$D$121:$M$121),CALCULO!$D$121:$M$121,0))/1000</f>
        <v>27.3618464553007</v>
      </c>
      <c r="Q20" s="17" t="n">
        <f aca="false">r_Rwf/1000</f>
        <v>83.1173238</v>
      </c>
      <c r="R20" s="18" t="s">
        <v>40</v>
      </c>
      <c r="S20" s="19" t="n">
        <f aca="false">MAX(CALCULO!$D$121:$M$121)</f>
        <v>0.329195469781244</v>
      </c>
      <c r="T20" s="20" t="str">
        <f aca="false">IF(ISNUMBER(S20),IF(S20&gt;1,"NO CUMPLE",IF(S20&gt;lim_verde,"AL LÍMITE","CUMPLE")),"N/A")</f>
        <v>CUMPLE</v>
      </c>
      <c r="U20" s="18" t="str">
        <f aca="false">IF(ISNUMBER(S20),INDEX(CALCULO!$D$95:$M$95,MATCH(MAX(CALCULO!$D$121:$M$121),CALCULO!$D$121:$M$121,0)),"—")</f>
        <v>1.2D+1.6Lr</v>
      </c>
    </row>
    <row r="21" customFormat="false" ht="15" hidden="false" customHeight="false" outlineLevel="0" collapsed="false">
      <c r="B21" s="7" t="s">
        <v>61</v>
      </c>
      <c r="C21" s="22" t="n">
        <f aca="false">IF(vg_perfil="ARMADO (flejes soldados)",E21,INDEX(CATALOGOS!$E$5:$E$40,MATCH(vg_perfil,CATALOGOS!$A$5:$A$40,0)))</f>
        <v>12</v>
      </c>
      <c r="D21" s="11" t="s">
        <v>54</v>
      </c>
      <c r="E21" s="13" t="n">
        <v>12</v>
      </c>
      <c r="G21" s="2" t="s">
        <v>62</v>
      </c>
      <c r="H21" s="2"/>
      <c r="I21" s="2"/>
      <c r="J21" s="2"/>
      <c r="K21" s="2"/>
      <c r="L21" s="2"/>
      <c r="N21" s="15" t="s">
        <v>63</v>
      </c>
      <c r="O21" s="16" t="s">
        <v>30</v>
      </c>
      <c r="P21" s="24" t="n">
        <f aca="false">r_wtD</f>
        <v>1898.1</v>
      </c>
      <c r="Q21" s="24" t="n">
        <f aca="false">r_wtC</f>
        <v>2817.5364</v>
      </c>
      <c r="R21" s="18" t="s">
        <v>64</v>
      </c>
      <c r="S21" s="19" t="n">
        <f aca="false">MAX(CALCULO!$D$122:$M$122)</f>
        <v>0.673673639140918</v>
      </c>
      <c r="T21" s="20" t="str">
        <f aca="false">IF(ISNUMBER(S21),IF(S21&gt;1,"NO CUMPLE",IF(S21&gt;lim_verde,"AL LÍMITE","CUMPLE")),"N/A")</f>
        <v>CUMPLE</v>
      </c>
      <c r="U21" s="18" t="str">
        <f aca="false">IF(ISNUMBER(S21),INDEX(CALCULO!$D$95:$M$95,MATCH(MAX(CALCULO!$D$122:$M$122),CALCULO!$D$122:$M$122,0)),"—")</f>
        <v>1.2D+1.6Lr</v>
      </c>
    </row>
    <row r="22" customFormat="false" ht="24" hidden="false" customHeight="true" outlineLevel="0" collapsed="false">
      <c r="B22" s="7" t="s">
        <v>65</v>
      </c>
      <c r="C22" s="13" t="s">
        <v>66</v>
      </c>
      <c r="D22" s="13"/>
      <c r="G22" s="25" t="s">
        <v>67</v>
      </c>
      <c r="H22" s="25" t="s">
        <v>68</v>
      </c>
      <c r="I22" s="25" t="s">
        <v>69</v>
      </c>
      <c r="J22" s="25" t="s">
        <v>70</v>
      </c>
      <c r="K22" s="25" t="s">
        <v>71</v>
      </c>
      <c r="L22" s="25" t="s">
        <v>72</v>
      </c>
      <c r="N22" s="15" t="s">
        <v>73</v>
      </c>
      <c r="O22" s="16" t="s">
        <v>74</v>
      </c>
      <c r="P22" s="17" t="n">
        <f aca="false">INDEX(CALCULO!$D$102:$M$102,MATCH(MAX(CALCULO!$D$123:$M$123),CALCULO!$D$123:$M$123,0))/1000</f>
        <v>7.09584310524707</v>
      </c>
      <c r="Q22" s="17" t="n">
        <f aca="false">r_Rwv/1000</f>
        <v>54.9312276579218</v>
      </c>
      <c r="R22" s="18" t="s">
        <v>40</v>
      </c>
      <c r="S22" s="19" t="n">
        <f aca="false">MAX(CALCULO!$D$123:$M$123)</f>
        <v>0.129176852726388</v>
      </c>
      <c r="T22" s="20" t="str">
        <f aca="false">IF(ISNUMBER(S22),IF(S22&gt;1,"NO CUMPLE",IF(S22&gt;lim_verde,"AL LÍMITE","CUMPLE")),"N/A")</f>
        <v>CUMPLE</v>
      </c>
      <c r="U22" s="18" t="str">
        <f aca="false">IF(ISNUMBER(S22),INDEX(CALCULO!$D$95:$M$95,MATCH(MAX(CALCULO!$D$123:$M$123),CALCULO!$D$123:$M$123,0)),"—")</f>
        <v>1.2D+1.6Lr</v>
      </c>
    </row>
    <row r="23" customFormat="false" ht="15" hidden="false" customHeight="false" outlineLevel="0" collapsed="false">
      <c r="B23" s="7" t="s">
        <v>75</v>
      </c>
      <c r="C23" s="26" t="n">
        <f aca="false">INDEX(CATALOGOS!$N$5:$N$10,MATCH(vg_acero,CATALOGOS!$M$5:$M$10,0))</f>
        <v>3515</v>
      </c>
      <c r="D23" s="11" t="s">
        <v>76</v>
      </c>
      <c r="E23" s="27" t="n">
        <f aca="false">INDEX(CATALOGOS!$O$5:$O$10,MATCH(vg_acero,CATALOGOS!$M$5:$M$10,0))</f>
        <v>4570</v>
      </c>
      <c r="G23" s="13" t="s">
        <v>77</v>
      </c>
      <c r="H23" s="28" t="n">
        <v>-16</v>
      </c>
      <c r="I23" s="28" t="n">
        <v>6.5</v>
      </c>
      <c r="J23" s="28" t="n">
        <v>-4</v>
      </c>
      <c r="K23" s="29" t="str">
        <f aca="false">IF(INDEX(CALCULO!$D$99:$M$99,1)=1,IF(INDEX(CALCULO!$D$100:$M$100,1)=1,"superior","inferior"),"—")</f>
        <v>superior</v>
      </c>
      <c r="L23" s="30" t="n">
        <f aca="false">IF(INDEX(CALCULO!$D$99:$M$99,1)=1,INDEX(CALCULO!$D$134:$M$134,1),"—")</f>
        <v>0.89429949952857</v>
      </c>
      <c r="N23" s="14" t="s">
        <v>78</v>
      </c>
      <c r="O23" s="14"/>
      <c r="P23" s="14"/>
      <c r="Q23" s="14"/>
      <c r="R23" s="14"/>
      <c r="S23" s="14"/>
      <c r="T23" s="14"/>
      <c r="U23" s="14"/>
    </row>
    <row r="24" customFormat="false" ht="15" hidden="false" customHeight="false" outlineLevel="0" collapsed="false">
      <c r="B24" s="7" t="s">
        <v>79</v>
      </c>
      <c r="C24" s="13" t="n">
        <v>600</v>
      </c>
      <c r="D24" s="11" t="s">
        <v>54</v>
      </c>
      <c r="G24" s="13" t="s">
        <v>80</v>
      </c>
      <c r="H24" s="28" t="n">
        <v>-8</v>
      </c>
      <c r="I24" s="28" t="n">
        <v>3.5</v>
      </c>
      <c r="J24" s="28" t="n">
        <v>-2</v>
      </c>
      <c r="K24" s="29" t="str">
        <f aca="false">IF(INDEX(CALCULO!$D$99:$M$99,2)=1,IF(INDEX(CALCULO!$D$100:$M$100,2)=1,"superior","inferior"),"—")</f>
        <v>superior</v>
      </c>
      <c r="L24" s="30" t="n">
        <f aca="false">IF(INDEX(CALCULO!$D$99:$M$99,2)=1,INDEX(CALCULO!$D$134:$M$134,2),"—")</f>
        <v>0.89429949952857</v>
      </c>
      <c r="N24" s="15" t="s">
        <v>81</v>
      </c>
      <c r="O24" s="16" t="s">
        <v>82</v>
      </c>
      <c r="P24" s="17" t="n">
        <f aca="false">IF(OR(t_rod=0,AND(cp_usar="Sí",cfg_u&lt;&gt;"Extendida — 1+1 (4E)",cfg_d&lt;&gt;"Extendida — 1+1 (4E)")),"—",INDEX(CALCULO!$D$124:$M$124,MATCH(MAX(CALCULO!$D$126:$M$126),CALCULO!$D$126:$M$126,0))/1)</f>
        <v>48.8101330797912</v>
      </c>
      <c r="Q24" s="17" t="n">
        <f aca="false">IF(OR(t_rod=0,AND(cp_usar="Sí",cfg_u&lt;&gt;"Extendida — 1+1 (4E)",cfg_d&lt;&gt;"Extendida — 1+1 (4E)")),"—",INDEX(CALCULO!$D$125:$M$125,MATCH(MAX(CALCULO!$D$126:$M$126),CALCULO!$D$126:$M$126,0))/1)</f>
        <v>54.5791796881487</v>
      </c>
      <c r="R24" s="18" t="s">
        <v>83</v>
      </c>
      <c r="S24" s="19" t="n">
        <f aca="false">IF(OR(t_rod=0,AND(cp_usar="Sí",cfg_u&lt;&gt;"Extendida — 1+1 (4E)",cfg_d&lt;&gt;"Extendida — 1+1 (4E)")),"N/A",MAX(CALCULO!$D$126:$M$126))</f>
        <v>0.89429949952857</v>
      </c>
      <c r="T24" s="20" t="str">
        <f aca="false">IF(ISNUMBER(S24),IF(S24&gt;1,"NO CUMPLE",IF(S24&gt;lim_verde,"AL LÍMITE","CUMPLE")),"N/A")</f>
        <v>CUMPLE</v>
      </c>
      <c r="U24" s="18" t="str">
        <f aca="false">IF(ISNUMBER(S24),INDEX(CALCULO!$D$95:$M$95,MATCH(MAX(CALCULO!$D$126:$M$126),CALCULO!$D$126:$M$126,0)),"—")</f>
        <v>1.2D+1.6Lr</v>
      </c>
    </row>
    <row r="25" customFormat="false" ht="15" hidden="false" customHeight="false" outlineLevel="0" collapsed="false">
      <c r="B25" s="7" t="s">
        <v>84</v>
      </c>
      <c r="C25" s="13" t="n">
        <v>1500</v>
      </c>
      <c r="D25" s="11" t="s">
        <v>54</v>
      </c>
      <c r="G25" s="13" t="s">
        <v>85</v>
      </c>
      <c r="H25" s="28" t="n">
        <v>6.5</v>
      </c>
      <c r="I25" s="28" t="n">
        <v>-2.8</v>
      </c>
      <c r="J25" s="28" t="n">
        <v>1.5</v>
      </c>
      <c r="K25" s="29" t="str">
        <f aca="false">IF(INDEX(CALCULO!$D$99:$M$99,3)=1,IF(INDEX(CALCULO!$D$100:$M$100,3)=1,"superior","inferior"),"—")</f>
        <v>inferior</v>
      </c>
      <c r="L25" s="30" t="n">
        <f aca="false">IF(INDEX(CALCULO!$D$99:$M$99,3)=1,INDEX(CALCULO!$D$134:$M$134,3),"—")</f>
        <v>0.673673639140918</v>
      </c>
      <c r="N25" s="15" t="s">
        <v>86</v>
      </c>
      <c r="O25" s="16" t="s">
        <v>87</v>
      </c>
      <c r="P25" s="17" t="str">
        <f aca="false">IF(OR(t_rod=0,cp_usar="Sí"),"—",INDEX(CALCULO!$D$104:$M$104,MATCH(MAX(CALCULO!$D$129:$M$129),CALCULO!$D$129:$M$129,0))/1000)</f>
        <v>—</v>
      </c>
      <c r="Q25" s="17" t="str">
        <f aca="false">IF(OR(t_rod=0,cp_usar="Sí"),"—",INDEX(CALCULO!$D$127:$M$127,MATCH(MAX(CALCULO!$D$129:$M$129),CALCULO!$D$129:$M$129,0))/1)</f>
        <v>—</v>
      </c>
      <c r="R25" s="18" t="s">
        <v>40</v>
      </c>
      <c r="S25" s="19" t="str">
        <f aca="false">IF(OR(t_rod=0,cp_usar="Sí"),"N/A",MAX(CALCULO!$D$129:$M$129))</f>
        <v>N/A</v>
      </c>
      <c r="T25" s="20" t="str">
        <f aca="false">IF(ISNUMBER(S25),IF(S25&gt;1,"NO CUMPLE",IF(S25&gt;lim_verde,"AL LÍMITE","CUMPLE")),"N/A")</f>
        <v>N/A</v>
      </c>
      <c r="U25" s="18" t="str">
        <f aca="false">IF(ISNUMBER(S25),INDEX(CALCULO!$D$95:$M$95,MATCH(MAX(CALCULO!$D$129:$M$129),CALCULO!$D$129:$M$129,0)),"—")</f>
        <v>—</v>
      </c>
    </row>
    <row r="26" customFormat="false" ht="15" hidden="false" customHeight="false" outlineLevel="0" collapsed="false">
      <c r="B26" s="2" t="s">
        <v>88</v>
      </c>
      <c r="C26" s="2"/>
      <c r="D26" s="2"/>
      <c r="E26" s="2"/>
      <c r="G26" s="13" t="s">
        <v>89</v>
      </c>
      <c r="H26" s="28" t="n">
        <v>-13</v>
      </c>
      <c r="I26" s="28" t="n">
        <v>5.5</v>
      </c>
      <c r="J26" s="28" t="n">
        <v>-3.5</v>
      </c>
      <c r="K26" s="29" t="str">
        <f aca="false">IF(INDEX(CALCULO!$D$99:$M$99,4)=1,IF(INDEX(CALCULO!$D$100:$M$100,4)=1,"superior","inferior"),"—")</f>
        <v>superior</v>
      </c>
      <c r="L26" s="30" t="n">
        <f aca="false">IF(INDEX(CALCULO!$D$99:$M$99,4)=1,INDEX(CALCULO!$D$134:$M$134,4),"—")</f>
        <v>0.89429949952857</v>
      </c>
      <c r="N26" s="15" t="s">
        <v>90</v>
      </c>
      <c r="O26" s="16" t="s">
        <v>91</v>
      </c>
      <c r="P26" s="17" t="str">
        <f aca="false">IF(OR(t_rod=0,cp_usar="Sí"),"—",INDEX(CALCULO!$D$104:$M$104,MATCH(MAX(CALCULO!$D$130:$M$130),CALCULO!$D$130:$M$130,0))/1000)</f>
        <v>—</v>
      </c>
      <c r="Q26" s="17" t="str">
        <f aca="false">IF(OR(t_rod=0,cp_usar="Sí"),"—",INDEX(CALCULO!$D$128:$M$128,MATCH(MAX(CALCULO!$D$130:$M$130),CALCULO!$D$130:$M$130,0))/1)</f>
        <v>—</v>
      </c>
      <c r="R26" s="18" t="s">
        <v>40</v>
      </c>
      <c r="S26" s="19" t="str">
        <f aca="false">IF(OR(t_rod=0,cp_usar="Sí"),"N/A",MAX(CALCULO!$D$130:$M$130))</f>
        <v>N/A</v>
      </c>
      <c r="T26" s="20" t="str">
        <f aca="false">IF(ISNUMBER(S26),IF(S26&gt;1,"NO CUMPLE",IF(S26&gt;lim_verde,"AL LÍMITE","CUMPLE")),"N/A")</f>
        <v>N/A</v>
      </c>
      <c r="U26" s="18" t="str">
        <f aca="false">IF(ISNUMBER(S26),INDEX(CALCULO!$D$95:$M$95,MATCH(MAX(CALCULO!$D$130:$M$130),CALCULO!$D$130:$M$130,0)),"—")</f>
        <v>—</v>
      </c>
    </row>
    <row r="27" customFormat="false" ht="15" hidden="false" customHeight="false" outlineLevel="0" collapsed="false">
      <c r="B27" s="7" t="s">
        <v>48</v>
      </c>
      <c r="C27" s="13" t="s">
        <v>92</v>
      </c>
      <c r="D27" s="13"/>
      <c r="E27" s="3" t="s">
        <v>50</v>
      </c>
      <c r="G27" s="13" t="s">
        <v>93</v>
      </c>
      <c r="H27" s="28"/>
      <c r="I27" s="28"/>
      <c r="J27" s="28"/>
      <c r="K27" s="29" t="str">
        <f aca="false">IF(INDEX(CALCULO!$D$99:$M$99,5)=1,IF(INDEX(CALCULO!$D$100:$M$100,5)=1,"superior","inferior"),"—")</f>
        <v>—</v>
      </c>
      <c r="L27" s="30" t="str">
        <f aca="false">IF(INDEX(CALCULO!$D$99:$M$99,5)=1,INDEX(CALCULO!$D$134:$M$134,5),"—")</f>
        <v>—</v>
      </c>
      <c r="N27" s="15" t="s">
        <v>94</v>
      </c>
      <c r="O27" s="16" t="s">
        <v>95</v>
      </c>
      <c r="P27" s="17" t="n">
        <f aca="false">IF(OR(t_rod=0,cp_usar="No"),"—",INDEX(CALCULO!$D$131:$M$131,MATCH(MAX(CALCULO!$D$132:$M$132),CALCULO!$D$132:$M$132,0))/1000)</f>
        <v>0</v>
      </c>
      <c r="Q27" s="17" t="n">
        <f aca="false">IF(OR(t_rod=0,cp_usar="No"),"—",r_Rcp/1000)</f>
        <v>83.5164</v>
      </c>
      <c r="R27" s="18" t="s">
        <v>40</v>
      </c>
      <c r="S27" s="19" t="n">
        <f aca="false">IF(OR(t_rod=0,cp_usar="No"),"N/A",MAX(CALCULO!$D$132:$M$132))</f>
        <v>0</v>
      </c>
      <c r="T27" s="20" t="str">
        <f aca="false">IF(ISNUMBER(S27),IF(S27&gt;1,"NO CUMPLE",IF(S27&gt;lim_verde,"AL LÍMITE","CUMPLE")),"N/A")</f>
        <v>CUMPLE</v>
      </c>
      <c r="U27" s="18" t="str">
        <f aca="false">IF(ISNUMBER(S27),INDEX(CALCULO!$D$95:$M$95,MATCH(MAX(CALCULO!$D$132:$M$132),CALCULO!$D$132:$M$132,0)),"—")</f>
        <v>1.2D+1.6Lr</v>
      </c>
    </row>
    <row r="28" customFormat="false" ht="15" hidden="false" customHeight="false" outlineLevel="0" collapsed="false">
      <c r="B28" s="7" t="s">
        <v>53</v>
      </c>
      <c r="C28" s="22" t="n">
        <f aca="false">IF(co_perfil="ARMADO (flejes soldados)",E28,INDEX(CATALOGOS!$H$5:$H$40,MATCH(co_perfil,CATALOGOS!$G$5:$G$40,0)))</f>
        <v>500</v>
      </c>
      <c r="D28" s="11" t="s">
        <v>54</v>
      </c>
      <c r="E28" s="13" t="n">
        <v>500</v>
      </c>
      <c r="G28" s="13" t="s">
        <v>96</v>
      </c>
      <c r="H28" s="28"/>
      <c r="I28" s="28"/>
      <c r="J28" s="28"/>
      <c r="K28" s="29" t="str">
        <f aca="false">IF(INDEX(CALCULO!$D$99:$M$99,6)=1,IF(INDEX(CALCULO!$D$100:$M$100,6)=1,"superior","inferior"),"—")</f>
        <v>—</v>
      </c>
      <c r="L28" s="30" t="str">
        <f aca="false">IF(INDEX(CALCULO!$D$99:$M$99,6)=1,INDEX(CALCULO!$D$134:$M$134,6),"—")</f>
        <v>—</v>
      </c>
      <c r="N28" s="15" t="s">
        <v>97</v>
      </c>
      <c r="O28" s="16" t="s">
        <v>98</v>
      </c>
      <c r="P28" s="17" t="n">
        <f aca="false">IF(t_rod=0,"—",INDEX(CALCULO!$D$104:$M$104,MATCH(MAX(CALCULO!$D$133:$M$133),CALCULO!$D$133:$M$133,0))/1000)</f>
        <v>27.3618464553007</v>
      </c>
      <c r="Q28" s="17" t="n">
        <f aca="false">IF(t_rod=0,"—",r_Rpz/1000)</f>
        <v>94.905</v>
      </c>
      <c r="R28" s="18" t="s">
        <v>40</v>
      </c>
      <c r="S28" s="19" t="n">
        <f aca="false">IF(t_rod=0,"N/A",MAX(CALCULO!$D$133:$M$133))</f>
        <v>0.288307744115702</v>
      </c>
      <c r="T28" s="20" t="str">
        <f aca="false">IF(ISNUMBER(S28),IF(S28&gt;1,"NO CUMPLE",IF(S28&gt;lim_verde,"AL LÍMITE","CUMPLE")),"N/A")</f>
        <v>CUMPLE</v>
      </c>
      <c r="U28" s="18" t="str">
        <f aca="false">IF(ISNUMBER(S28),INDEX(CALCULO!$D$95:$M$95,MATCH(MAX(CALCULO!$D$133:$M$133),CALCULO!$D$133:$M$133,0)),"—")</f>
        <v>1.2D+1.6Lr</v>
      </c>
    </row>
    <row r="29" customFormat="false" ht="15" hidden="false" customHeight="false" outlineLevel="0" collapsed="false">
      <c r="B29" s="7" t="s">
        <v>56</v>
      </c>
      <c r="C29" s="22" t="n">
        <f aca="false">IF(co_perfil="ARMADO (flejes soldados)",E29,INDEX(CATALOGOS!$I$5:$I$40,MATCH(co_perfil,CATALOGOS!$G$5:$G$40,0)))</f>
        <v>250</v>
      </c>
      <c r="D29" s="11" t="s">
        <v>54</v>
      </c>
      <c r="E29" s="13" t="n">
        <v>250</v>
      </c>
      <c r="G29" s="13" t="s">
        <v>99</v>
      </c>
      <c r="H29" s="28"/>
      <c r="I29" s="28"/>
      <c r="J29" s="28"/>
      <c r="K29" s="29" t="str">
        <f aca="false">IF(INDEX(CALCULO!$D$99:$M$99,7)=1,IF(INDEX(CALCULO!$D$100:$M$100,7)=1,"superior","inferior"),"—")</f>
        <v>—</v>
      </c>
      <c r="L29" s="30" t="str">
        <f aca="false">IF(INDEX(CALCULO!$D$99:$M$99,7)=1,INDEX(CALCULO!$D$134:$M$134,7),"—")</f>
        <v>—</v>
      </c>
      <c r="N29" s="14" t="s">
        <v>100</v>
      </c>
      <c r="O29" s="14"/>
      <c r="P29" s="14"/>
      <c r="Q29" s="14"/>
      <c r="R29" s="14"/>
      <c r="S29" s="14"/>
      <c r="T29" s="14"/>
      <c r="U29" s="14"/>
    </row>
    <row r="30" customFormat="false" ht="15" hidden="false" customHeight="false" outlineLevel="0" collapsed="false">
      <c r="B30" s="7" t="s">
        <v>58</v>
      </c>
      <c r="C30" s="22" t="n">
        <f aca="false">IF(co_perfil="ARMADO (flejes soldados)",E30,INDEX(CATALOGOS!$J$5:$J$40,MATCH(co_perfil,CATALOGOS!$G$5:$G$40,0)))</f>
        <v>10</v>
      </c>
      <c r="D30" s="11" t="s">
        <v>54</v>
      </c>
      <c r="E30" s="13" t="n">
        <v>10</v>
      </c>
      <c r="G30" s="13" t="s">
        <v>101</v>
      </c>
      <c r="H30" s="28"/>
      <c r="I30" s="28"/>
      <c r="J30" s="28"/>
      <c r="K30" s="29" t="str">
        <f aca="false">IF(INDEX(CALCULO!$D$99:$M$99,8)=1,IF(INDEX(CALCULO!$D$100:$M$100,8)=1,"superior","inferior"),"—")</f>
        <v>—</v>
      </c>
      <c r="L30" s="30" t="str">
        <f aca="false">IF(INDEX(CALCULO!$D$99:$M$99,8)=1,INDEX(CALCULO!$D$134:$M$134,8),"—")</f>
        <v>—</v>
      </c>
      <c r="N30" s="15" t="s">
        <v>102</v>
      </c>
      <c r="O30" s="16" t="s">
        <v>103</v>
      </c>
      <c r="P30" s="17" t="n">
        <f aca="false">b_bf</f>
        <v>18</v>
      </c>
      <c r="Q30" s="17" t="n">
        <f aca="false">p_bp</f>
        <v>20</v>
      </c>
      <c r="R30" s="18" t="s">
        <v>104</v>
      </c>
      <c r="S30" s="19" t="n">
        <f aca="false">(b_bf)/MAX(p_bp,0.000000001)</f>
        <v>0.9</v>
      </c>
      <c r="T30" s="20" t="str">
        <f aca="false">IF(ISNUMBER(S30),IF(S30&gt;1,"NO CUMPLE",IF(S30&gt;lim_verde,"AL LÍMITE","CUMPLE")),"N/A")</f>
        <v>CUMPLE</v>
      </c>
      <c r="U30" s="18" t="s">
        <v>105</v>
      </c>
    </row>
    <row r="31" customFormat="false" ht="15" hidden="false" customHeight="false" outlineLevel="0" collapsed="false">
      <c r="B31" s="7" t="s">
        <v>61</v>
      </c>
      <c r="C31" s="22" t="n">
        <f aca="false">IF(co_perfil="ARMADO (flejes soldados)",E31,INDEX(CATALOGOS!$K$5:$K$40,MATCH(co_perfil,CATALOGOS!$G$5:$G$40,0)))</f>
        <v>15</v>
      </c>
      <c r="D31" s="11" t="s">
        <v>54</v>
      </c>
      <c r="E31" s="13" t="n">
        <v>15</v>
      </c>
      <c r="G31" s="13" t="s">
        <v>106</v>
      </c>
      <c r="H31" s="28"/>
      <c r="I31" s="28"/>
      <c r="J31" s="28"/>
      <c r="K31" s="29" t="str">
        <f aca="false">IF(INDEX(CALCULO!$D$99:$M$99,9)=1,IF(INDEX(CALCULO!$D$100:$M$100,9)=1,"superior","inferior"),"—")</f>
        <v>—</v>
      </c>
      <c r="L31" s="30" t="str">
        <f aca="false">IF(INDEX(CALCULO!$D$99:$M$99,9)=1,INDEX(CALCULO!$D$134:$M$134,9),"—")</f>
        <v>—</v>
      </c>
      <c r="N31" s="15" t="s">
        <v>107</v>
      </c>
      <c r="O31" s="16" t="s">
        <v>108</v>
      </c>
      <c r="P31" s="17" t="n">
        <f aca="false">a_db+1.27</f>
        <v>3.4925</v>
      </c>
      <c r="Q31" s="17" t="n">
        <f aca="false">p_pfi</f>
        <v>5</v>
      </c>
      <c r="R31" s="18" t="s">
        <v>104</v>
      </c>
      <c r="S31" s="19" t="n">
        <f aca="false">(a_db+1.27)/MAX(p_pfi,0.000000001)</f>
        <v>0.6985</v>
      </c>
      <c r="T31" s="20" t="str">
        <f aca="false">IF(ISNUMBER(S31),IF(S31&gt;1,"NO CUMPLE",IF(S31&gt;lim_verde,"AL LÍMITE","CUMPLE")),"N/A")</f>
        <v>CUMPLE</v>
      </c>
      <c r="U31" s="18" t="s">
        <v>105</v>
      </c>
    </row>
    <row r="32" customFormat="false" ht="15" hidden="false" customHeight="false" outlineLevel="0" collapsed="false">
      <c r="B32" s="7" t="s">
        <v>65</v>
      </c>
      <c r="C32" s="13" t="s">
        <v>66</v>
      </c>
      <c r="D32" s="13"/>
      <c r="G32" s="13" t="s">
        <v>109</v>
      </c>
      <c r="H32" s="28"/>
      <c r="I32" s="28"/>
      <c r="J32" s="28"/>
      <c r="K32" s="29" t="str">
        <f aca="false">IF(INDEX(CALCULO!$D$99:$M$99,10)=1,IF(INDEX(CALCULO!$D$100:$M$100,10)=1,"superior","inferior"),"—")</f>
        <v>—</v>
      </c>
      <c r="L32" s="30" t="str">
        <f aca="false">IF(INDEX(CALCULO!$D$99:$M$99,10)=1,INDEX(CALCULO!$D$134:$M$134,10),"—")</f>
        <v>—</v>
      </c>
      <c r="N32" s="15" t="s">
        <v>110</v>
      </c>
      <c r="O32" s="16" t="s">
        <v>108</v>
      </c>
      <c r="P32" s="17" t="n">
        <f aca="false">IF(AND(cfg_u&lt;&gt;"Extendida — 1+1 (4E)",cfg_d&lt;&gt;"Extendida — 1+1 (4E)"),"—",a_db+1.27)</f>
        <v>3.4925</v>
      </c>
      <c r="Q32" s="17" t="n">
        <f aca="false">IF(AND(cfg_u&lt;&gt;"Extendida — 1+1 (4E)",cfg_d&lt;&gt;"Extendida — 1+1 (4E)"),"—",p_pfo)</f>
        <v>5</v>
      </c>
      <c r="R32" s="18" t="s">
        <v>104</v>
      </c>
      <c r="S32" s="19" t="n">
        <f aca="false">IF(AND(cfg_u&lt;&gt;"Extendida — 1+1 (4E)",cfg_d&lt;&gt;"Extendida — 1+1 (4E)"),"N/A",(a_db+1.27)/MAX(p_pfo,0.000000001))</f>
        <v>0.6985</v>
      </c>
      <c r="T32" s="20" t="str">
        <f aca="false">IF(ISNUMBER(S32),IF(S32&gt;1,"NO CUMPLE",IF(S32&gt;lim_verde,"AL LÍMITE","CUMPLE")),"N/A")</f>
        <v>CUMPLE</v>
      </c>
      <c r="U32" s="18" t="s">
        <v>105</v>
      </c>
    </row>
    <row r="33" customFormat="false" ht="15" hidden="false" customHeight="false" outlineLevel="0" collapsed="false">
      <c r="B33" s="7" t="s">
        <v>75</v>
      </c>
      <c r="C33" s="26" t="n">
        <f aca="false">INDEX(CATALOGOS!$N$5:$N$10,MATCH(co_acero,CATALOGOS!$M$5:$M$10,0))</f>
        <v>3515</v>
      </c>
      <c r="D33" s="11" t="s">
        <v>76</v>
      </c>
      <c r="E33" s="27" t="n">
        <f aca="false">INDEX(CATALOGOS!$O$5:$O$10,MATCH(co_acero,CATALOGOS!$M$5:$M$10,0))</f>
        <v>4570</v>
      </c>
      <c r="G33" s="31" t="s">
        <v>111</v>
      </c>
      <c r="N33" s="15" t="s">
        <v>112</v>
      </c>
      <c r="O33" s="16" t="s">
        <v>113</v>
      </c>
      <c r="P33" s="17" t="n">
        <f aca="false">IF(AND(cfg_u&lt;&gt;"Extendida — 1+1 (4E)",cfg_d&lt;&gt;"Extendida — 1+1 (4E)"),"—",a_emin)</f>
        <v>2.8575</v>
      </c>
      <c r="Q33" s="17" t="n">
        <f aca="false">IF(AND(cfg_u&lt;&gt;"Extendida — 1+1 (4E)",cfg_d&lt;&gt;"Extendida — 1+1 (4E)"),"—",p_de)</f>
        <v>4</v>
      </c>
      <c r="R33" s="18" t="s">
        <v>104</v>
      </c>
      <c r="S33" s="19" t="n">
        <f aca="false">IF(AND(cfg_u&lt;&gt;"Extendida — 1+1 (4E)",cfg_d&lt;&gt;"Extendida — 1+1 (4E)"),"N/A",(a_emin)/MAX(p_de,0.000000001))</f>
        <v>0.714375</v>
      </c>
      <c r="T33" s="20" t="str">
        <f aca="false">IF(ISNUMBER(S33),IF(S33&gt;1,"NO CUMPLE",IF(S33&gt;lim_verde,"AL LÍMITE","CUMPLE")),"N/A")</f>
        <v>CUMPLE</v>
      </c>
      <c r="U33" s="18" t="s">
        <v>105</v>
      </c>
    </row>
    <row r="34" customFormat="false" ht="15" hidden="false" customHeight="false" outlineLevel="0" collapsed="false">
      <c r="B34" s="7" t="s">
        <v>114</v>
      </c>
      <c r="C34" s="13" t="n">
        <v>6</v>
      </c>
      <c r="D34" s="11" t="s">
        <v>54</v>
      </c>
      <c r="N34" s="15" t="s">
        <v>115</v>
      </c>
      <c r="O34" s="16" t="s">
        <v>113</v>
      </c>
      <c r="P34" s="17" t="n">
        <f aca="false">a_emin</f>
        <v>2.8575</v>
      </c>
      <c r="Q34" s="17" t="n">
        <f aca="false">(p_bp-p_g)/2</f>
        <v>4.5</v>
      </c>
      <c r="R34" s="18" t="s">
        <v>104</v>
      </c>
      <c r="S34" s="19" t="n">
        <f aca="false">(a_emin)/MAX((p_bp-p_g)/2,0.000000001)</f>
        <v>0.635</v>
      </c>
      <c r="T34" s="20" t="str">
        <f aca="false">IF(ISNUMBER(S34),IF(S34&gt;1,"NO CUMPLE",IF(S34&gt;lim_verde,"AL LÍMITE","CUMPLE")),"N/A")</f>
        <v>CUMPLE</v>
      </c>
      <c r="U34" s="18" t="s">
        <v>105</v>
      </c>
    </row>
    <row r="35" customFormat="false" ht="15" hidden="false" customHeight="false" outlineLevel="0" collapsed="false">
      <c r="B35" s="7" t="s">
        <v>116</v>
      </c>
      <c r="C35" s="13" t="n">
        <v>0</v>
      </c>
      <c r="D35" s="11" t="s">
        <v>54</v>
      </c>
      <c r="G35" s="2" t="s">
        <v>117</v>
      </c>
      <c r="H35" s="2"/>
      <c r="I35" s="2"/>
      <c r="J35" s="2"/>
      <c r="K35" s="2"/>
      <c r="L35" s="2"/>
      <c r="N35" s="15" t="s">
        <v>118</v>
      </c>
      <c r="O35" s="16" t="s">
        <v>119</v>
      </c>
      <c r="P35" s="17" t="n">
        <f aca="false">8/3*a_db</f>
        <v>5.92666666666667</v>
      </c>
      <c r="Q35" s="17" t="n">
        <f aca="false">p_g</f>
        <v>11</v>
      </c>
      <c r="R35" s="18" t="s">
        <v>104</v>
      </c>
      <c r="S35" s="19" t="n">
        <f aca="false">(8/3*a_db)/MAX(p_g,0.000000001)</f>
        <v>0.538787878787879</v>
      </c>
      <c r="T35" s="20" t="str">
        <f aca="false">IF(ISNUMBER(S35),IF(S35&gt;1,"NO CUMPLE",IF(S35&gt;lim_verde,"AL LÍMITE","CUMPLE")),"N/A")</f>
        <v>CUMPLE</v>
      </c>
      <c r="U35" s="18" t="s">
        <v>105</v>
      </c>
    </row>
    <row r="36" customFormat="false" ht="15" hidden="false" customHeight="false" outlineLevel="0" collapsed="false">
      <c r="B36" s="7" t="s">
        <v>120</v>
      </c>
      <c r="C36" s="10" t="n">
        <v>10</v>
      </c>
      <c r="D36" s="11" t="s">
        <v>40</v>
      </c>
      <c r="G36" s="32" t="s">
        <v>121</v>
      </c>
      <c r="H36" s="33" t="s">
        <v>77</v>
      </c>
      <c r="I36" s="33"/>
      <c r="K36" s="34" t="n">
        <f aca="false">IFERROR(MATCH(H36,cb_nom,0),1)</f>
        <v>1</v>
      </c>
      <c r="N36" s="15" t="s">
        <v>122</v>
      </c>
      <c r="O36" s="16" t="s">
        <v>119</v>
      </c>
      <c r="P36" s="17" t="str">
        <f aca="false">IF(AND(cfg_u&lt;&gt;"Al ras — 2 filas (4 pernos)",cfg_d&lt;&gt;"Al ras — 2 filas (4 pernos)"),"—",8/3*a_db)</f>
        <v>—</v>
      </c>
      <c r="Q36" s="17" t="str">
        <f aca="false">IF(AND(cfg_u&lt;&gt;"Al ras — 2 filas (4 pernos)",cfg_d&lt;&gt;"Al ras — 2 filas (4 pernos)"),"—",p_pb)</f>
        <v>—</v>
      </c>
      <c r="R36" s="18" t="s">
        <v>104</v>
      </c>
      <c r="S36" s="19" t="str">
        <f aca="false">IF(AND(cfg_u&lt;&gt;"Al ras — 2 filas (4 pernos)",cfg_d&lt;&gt;"Al ras — 2 filas (4 pernos)"),"N/A",(8/3*a_db)/MAX(p_pb,0.000000001))</f>
        <v>N/A</v>
      </c>
      <c r="T36" s="20" t="str">
        <f aca="false">IF(ISNUMBER(S36),IF(S36&gt;1,"NO CUMPLE",IF(S36&gt;lim_verde,"AL LÍMITE","CUMPLE")),"N/A")</f>
        <v>N/A</v>
      </c>
      <c r="U36" s="18" t="s">
        <v>105</v>
      </c>
    </row>
    <row r="37" customFormat="false" ht="15" hidden="false" customHeight="false" outlineLevel="0" collapsed="false">
      <c r="B37" s="7" t="s">
        <v>94</v>
      </c>
      <c r="C37" s="13" t="s">
        <v>123</v>
      </c>
      <c r="D37" s="11"/>
      <c r="G37" s="35" t="s">
        <v>71</v>
      </c>
      <c r="H37" s="35"/>
      <c r="I37" s="35"/>
      <c r="J37" s="36" t="str">
        <f aca="false">IF(INDEX(CALCULO!$D$100:$M$100,det_k)=1,"superior","inferior")</f>
        <v>superior</v>
      </c>
      <c r="K37" s="36"/>
      <c r="L37" s="11"/>
      <c r="N37" s="15" t="s">
        <v>124</v>
      </c>
      <c r="O37" s="16" t="s">
        <v>125</v>
      </c>
      <c r="P37" s="17" t="str">
        <f aca="false">IF(AND(cfg_u&lt;&gt;"Al ras — 2 filas (4 pernos)",cfg_d&lt;&gt;"Al ras — 2 filas (4 pernos)"),"—",b_dp/2)</f>
        <v>—</v>
      </c>
      <c r="Q37" s="17" t="str">
        <f aca="false">IF(AND(cfg_u&lt;&gt;"Al ras — 2 filas (4 pernos)",cfg_d&lt;&gt;"Al ras — 2 filas (4 pernos)"),"—",h_i2)</f>
        <v>—</v>
      </c>
      <c r="R37" s="18" t="s">
        <v>104</v>
      </c>
      <c r="S37" s="19" t="str">
        <f aca="false">IF(AND(cfg_u&lt;&gt;"Al ras — 2 filas (4 pernos)",cfg_d&lt;&gt;"Al ras — 2 filas (4 pernos)"),"N/A",(b_dp/2)/MAX(h_i2,0.000000001))</f>
        <v>N/A</v>
      </c>
      <c r="T37" s="20" t="str">
        <f aca="false">IF(ISNUMBER(S37),IF(S37&gt;1,"NO CUMPLE",IF(S37&gt;lim_verde,"AL LÍMITE","CUMPLE")),"N/A")</f>
        <v>N/A</v>
      </c>
      <c r="U37" s="18" t="s">
        <v>105</v>
      </c>
    </row>
    <row r="38" customFormat="false" ht="15" hidden="false" customHeight="false" outlineLevel="0" collapsed="false">
      <c r="B38" s="7" t="s">
        <v>126</v>
      </c>
      <c r="C38" s="13" t="n">
        <v>12</v>
      </c>
      <c r="D38" s="11" t="s">
        <v>54</v>
      </c>
      <c r="G38" s="35" t="s">
        <v>127</v>
      </c>
      <c r="H38" s="35"/>
      <c r="I38" s="35"/>
      <c r="J38" s="36" t="str">
        <f aca="false">IF(INDEX(CALCULO!$D$100:$M$100,det_k)=1,cfg_u,cfg_d)</f>
        <v>Extendida — 1+1 (4E)</v>
      </c>
      <c r="K38" s="36"/>
      <c r="L38" s="11"/>
      <c r="N38" s="15" t="s">
        <v>128</v>
      </c>
      <c r="O38" s="16" t="s">
        <v>129</v>
      </c>
      <c r="P38" s="17" t="n">
        <f aca="false">IF(sd_tipo="CJP","—",IF(MIN(vg_tf_mm,pl_tp)&lt;=6,3,IF(MIN(vg_tf_mm,pl_tp)&lt;=13,5,IF(MIN(vg_tf_mm,pl_tp)&lt;=19,6,8))))</f>
        <v>5</v>
      </c>
      <c r="Q38" s="17" t="n">
        <f aca="false">IF(sd_tipo="CJP","—",sd_wf)</f>
        <v>10</v>
      </c>
      <c r="R38" s="18" t="s">
        <v>54</v>
      </c>
      <c r="S38" s="19" t="n">
        <f aca="false">IF(sd_tipo="CJP","N/A",(IF(MIN(vg_tf_mm,pl_tp)&lt;=6,3,IF(MIN(vg_tf_mm,pl_tp)&lt;=13,5,IF(MIN(vg_tf_mm,pl_tp)&lt;=19,6,8))))/MAX(sd_wf,0.000000001))</f>
        <v>0.5</v>
      </c>
      <c r="T38" s="20" t="str">
        <f aca="false">IF(ISNUMBER(S38),IF(S38&gt;1,"NO CUMPLE",IF(S38&gt;lim_verde,"AL LÍMITE","CUMPLE")),"N/A")</f>
        <v>CUMPLE</v>
      </c>
      <c r="U38" s="18" t="s">
        <v>105</v>
      </c>
    </row>
    <row r="39" customFormat="false" ht="15" hidden="false" customHeight="false" outlineLevel="0" collapsed="false">
      <c r="B39" s="7" t="s">
        <v>130</v>
      </c>
      <c r="C39" s="13" t="n">
        <v>110</v>
      </c>
      <c r="D39" s="11" t="s">
        <v>54</v>
      </c>
      <c r="G39" s="35" t="s">
        <v>131</v>
      </c>
      <c r="H39" s="35"/>
      <c r="I39" s="35"/>
      <c r="J39" s="37" t="n">
        <f aca="false">INDEX(CALCULO!$D$103:$M$103,det_k)/100000</f>
        <v>16.3369608601339</v>
      </c>
      <c r="K39" s="37"/>
      <c r="L39" s="11" t="s">
        <v>31</v>
      </c>
      <c r="N39" s="15" t="s">
        <v>132</v>
      </c>
      <c r="O39" s="16" t="s">
        <v>129</v>
      </c>
      <c r="P39" s="17" t="n">
        <f aca="false">IF(MIN(vg_tw_mm,pl_tp)&lt;=6,3,IF(MIN(vg_tw_mm,pl_tp)&lt;=13,5,IF(MIN(vg_tw_mm,pl_tp)&lt;=19,6,8)))</f>
        <v>3</v>
      </c>
      <c r="Q39" s="17" t="n">
        <f aca="false">sd_ww</f>
        <v>6</v>
      </c>
      <c r="R39" s="18" t="s">
        <v>54</v>
      </c>
      <c r="S39" s="19" t="n">
        <f aca="false">(IF(MIN(vg_tw_mm,pl_tp)&lt;=6,3,IF(MIN(vg_tw_mm,pl_tp)&lt;=13,5,IF(MIN(vg_tw_mm,pl_tp)&lt;=19,6,8))))/MAX(sd_ww,0.000000001)</f>
        <v>0.5</v>
      </c>
      <c r="T39" s="20" t="str">
        <f aca="false">IF(ISNUMBER(S39),IF(S39&gt;1,"NO CUMPLE",IF(S39&gt;lim_verde,"AL LÍMITE","CUMPLE")),"N/A")</f>
        <v>CUMPLE</v>
      </c>
      <c r="U39" s="18" t="s">
        <v>105</v>
      </c>
    </row>
    <row r="40" customFormat="false" ht="15" hidden="false" customHeight="false" outlineLevel="0" collapsed="false">
      <c r="B40" s="7" t="s">
        <v>133</v>
      </c>
      <c r="C40" s="13" t="n">
        <v>0</v>
      </c>
      <c r="D40" s="11" t="s">
        <v>54</v>
      </c>
      <c r="G40" s="35" t="s">
        <v>134</v>
      </c>
      <c r="H40" s="35"/>
      <c r="I40" s="35"/>
      <c r="J40" s="37" t="n">
        <f aca="false">INDEX(CALCULO!$D$104:$M$104,det_k)/1000</f>
        <v>27.3618464553007</v>
      </c>
      <c r="K40" s="37"/>
      <c r="L40" s="11" t="s">
        <v>40</v>
      </c>
      <c r="N40" s="15" t="s">
        <v>135</v>
      </c>
      <c r="O40" s="16" t="s">
        <v>95</v>
      </c>
      <c r="P40" s="17" t="n">
        <f aca="false">IF(OR(t_rod=0,cp_usar="No"),"—",b_bf/3-c_tw/2)</f>
        <v>5.5</v>
      </c>
      <c r="Q40" s="17" t="n">
        <f aca="false">IF(OR(t_rod=0,cp_usar="No"),"—",cp_b/10)</f>
        <v>11</v>
      </c>
      <c r="R40" s="18" t="s">
        <v>104</v>
      </c>
      <c r="S40" s="19" t="n">
        <f aca="false">IF(OR(t_rod=0,cp_usar="No"),"N/A",(b_bf/3-c_tw/2)/MAX(cp_b/10,0.000000001))</f>
        <v>0.5</v>
      </c>
      <c r="T40" s="20" t="str">
        <f aca="false">IF(ISNUMBER(S40),IF(S40&gt;1,"NO CUMPLE",IF(S40&gt;lim_verde,"AL LÍMITE","CUMPLE")),"N/A")</f>
        <v>CUMPLE</v>
      </c>
      <c r="U40" s="18" t="s">
        <v>105</v>
      </c>
    </row>
    <row r="41" customFormat="false" ht="15" hidden="false" customHeight="false" outlineLevel="0" collapsed="false">
      <c r="B41" s="2" t="s">
        <v>136</v>
      </c>
      <c r="C41" s="2"/>
      <c r="D41" s="2"/>
      <c r="E41" s="2"/>
      <c r="G41" s="35" t="s">
        <v>137</v>
      </c>
      <c r="H41" s="35"/>
      <c r="I41" s="35"/>
      <c r="J41" s="37" t="n">
        <f aca="false">INDEX(CALCULO!$D$102:$M$102,det_k)/1000</f>
        <v>7.09584310524707</v>
      </c>
      <c r="K41" s="37"/>
      <c r="L41" s="11" t="s">
        <v>40</v>
      </c>
      <c r="N41" s="15" t="s">
        <v>138</v>
      </c>
      <c r="O41" s="16" t="s">
        <v>95</v>
      </c>
      <c r="P41" s="17" t="n">
        <f aca="false">IF(OR(t_rod=0,cp_usar="No"),"—",b_tf/2)</f>
        <v>0.6</v>
      </c>
      <c r="Q41" s="17" t="n">
        <f aca="false">IF(OR(t_rod=0,cp_usar="No"),"—",cp_t/10)</f>
        <v>1.2</v>
      </c>
      <c r="R41" s="18" t="s">
        <v>104</v>
      </c>
      <c r="S41" s="19" t="n">
        <f aca="false">IF(OR(t_rod=0,cp_usar="No"),"N/A",(b_tf/2)/MAX(cp_t/10,0.000000001))</f>
        <v>0.5</v>
      </c>
      <c r="T41" s="20" t="str">
        <f aca="false">IF(ISNUMBER(S41),IF(S41&gt;1,"NO CUMPLE",IF(S41&gt;lim_verde,"AL LÍMITE","CUMPLE")),"N/A")</f>
        <v>CUMPLE</v>
      </c>
      <c r="U41" s="18" t="s">
        <v>105</v>
      </c>
    </row>
    <row r="42" customFormat="false" ht="15" hidden="false" customHeight="false" outlineLevel="0" collapsed="false">
      <c r="B42" s="7" t="s">
        <v>65</v>
      </c>
      <c r="C42" s="13" t="s">
        <v>66</v>
      </c>
      <c r="D42" s="13"/>
      <c r="G42" s="35" t="str">
        <f aca="false">"db requerido (provisto "&amp;TEXT(a_db*10,"0.0")&amp;" mm)"</f>
        <v>db requerido (provisto 22.2 mm)</v>
      </c>
      <c r="H42" s="35"/>
      <c r="I42" s="35"/>
      <c r="J42" s="38" t="n">
        <f aca="false">INDEX(CALCULO!$D$105:$M$105,det_k)</f>
        <v>13.5467119857571</v>
      </c>
      <c r="K42" s="38"/>
      <c r="L42" s="11" t="s">
        <v>54</v>
      </c>
      <c r="N42" s="15" t="s">
        <v>139</v>
      </c>
      <c r="O42" s="16" t="s">
        <v>125</v>
      </c>
      <c r="P42" s="17" t="n">
        <f aca="false">IF(t_rod=0,"—",p_bp)</f>
        <v>20</v>
      </c>
      <c r="Q42" s="17" t="n">
        <f aca="false">IF(t_rod=0,"—",c_bf)</f>
        <v>25</v>
      </c>
      <c r="R42" s="18" t="s">
        <v>104</v>
      </c>
      <c r="S42" s="19" t="n">
        <f aca="false">IF(t_rod=0,"N/A",(p_bp)/MAX(c_bf,0.000000001))</f>
        <v>0.8</v>
      </c>
      <c r="T42" s="20" t="str">
        <f aca="false">IF(ISNUMBER(S42),IF(S42&gt;1,"NO CUMPLE",IF(S42&gt;lim_verde,"AL LÍMITE","CUMPLE")),"N/A")</f>
        <v>CUMPLE</v>
      </c>
      <c r="U42" s="18" t="s">
        <v>105</v>
      </c>
    </row>
    <row r="43" customFormat="false" ht="15" hidden="false" customHeight="false" outlineLevel="0" collapsed="false">
      <c r="B43" s="7" t="s">
        <v>75</v>
      </c>
      <c r="C43" s="26" t="n">
        <f aca="false">INDEX(CATALOGOS!$N$5:$N$10,MATCH(pl_acero,CATALOGOS!$M$5:$M$10,0))</f>
        <v>3515</v>
      </c>
      <c r="D43" s="11" t="s">
        <v>76</v>
      </c>
      <c r="E43" s="27" t="n">
        <f aca="false">INDEX(CATALOGOS!$O$5:$O$10,MATCH(pl_acero,CATALOGOS!$M$5:$M$10,0))</f>
        <v>4570</v>
      </c>
      <c r="G43" s="35" t="str">
        <f aca="false">"tp requerido (provisto "&amp;pl_tp&amp;" mm)"</f>
        <v>tp requerido (provisto 25 mm)</v>
      </c>
      <c r="H43" s="35"/>
      <c r="I43" s="35"/>
      <c r="J43" s="38" t="n">
        <f aca="false">INDEX(CALCULO!$D$111:$M$111,det_k)</f>
        <v>18.9667739969089</v>
      </c>
      <c r="K43" s="38"/>
      <c r="L43" s="11" t="s">
        <v>54</v>
      </c>
      <c r="N43" s="15" t="s">
        <v>140</v>
      </c>
      <c r="O43" s="16" t="s">
        <v>141</v>
      </c>
      <c r="P43" s="17" t="n">
        <f aca="false">theta</f>
        <v>10</v>
      </c>
      <c r="Q43" s="17" t="n">
        <f aca="false">30</f>
        <v>30</v>
      </c>
      <c r="R43" s="18" t="s">
        <v>37</v>
      </c>
      <c r="S43" s="19" t="n">
        <f aca="false">(theta)/MAX(30,0.000000001)</f>
        <v>0.333333333333333</v>
      </c>
      <c r="T43" s="20" t="str">
        <f aca="false">IF(ISNUMBER(S43),IF(S43&gt;1,"NO CUMPLE",IF(S43&gt;lim_verde,"AL LÍMITE","CUMPLE")),"N/A")</f>
        <v>CUMPLE</v>
      </c>
      <c r="U43" s="18" t="s">
        <v>105</v>
      </c>
    </row>
    <row r="44" customFormat="false" ht="15" hidden="false" customHeight="false" outlineLevel="0" collapsed="false">
      <c r="B44" s="7" t="s">
        <v>142</v>
      </c>
      <c r="C44" s="13" t="n">
        <v>200</v>
      </c>
      <c r="D44" s="11" t="s">
        <v>54</v>
      </c>
      <c r="G44" s="35" t="s">
        <v>143</v>
      </c>
      <c r="H44" s="35"/>
      <c r="I44" s="35"/>
      <c r="J44" s="38" t="n">
        <f aca="false">IF(INDEX(CALCULO!$D$100:$M$100,det_k)=1,xu_Yp,xd_Yp)</f>
        <v>428.899178467614</v>
      </c>
      <c r="K44" s="38"/>
      <c r="L44" s="11" t="s">
        <v>104</v>
      </c>
      <c r="N44" s="15" t="s">
        <v>144</v>
      </c>
      <c r="O44" s="16" t="s">
        <v>145</v>
      </c>
      <c r="P44" s="17" t="n">
        <f aca="false">0.707*sd_ww/10*w_FEXX/vg_Fu</f>
        <v>0.456687964989059</v>
      </c>
      <c r="Q44" s="17" t="n">
        <f aca="false">b_tw</f>
        <v>0.6</v>
      </c>
      <c r="R44" s="18" t="s">
        <v>104</v>
      </c>
      <c r="S44" s="19" t="n">
        <f aca="false">(0.707*sd_ww/10*w_FEXX/vg_Fu)/MAX(b_tw,0.000000001)</f>
        <v>0.761146608315099</v>
      </c>
      <c r="T44" s="20" t="str">
        <f aca="false">IF(ISNUMBER(S44),IF(S44&gt;1,"NO CUMPLE",IF(S44&gt;lim_verde,"AL LÍMITE","CUMPLE")),"N/A")</f>
        <v>CUMPLE</v>
      </c>
      <c r="U44" s="18" t="s">
        <v>105</v>
      </c>
    </row>
    <row r="45" customFormat="false" ht="15" hidden="false" customHeight="false" outlineLevel="0" collapsed="false">
      <c r="B45" s="7" t="s">
        <v>146</v>
      </c>
      <c r="C45" s="13" t="n">
        <v>25</v>
      </c>
      <c r="D45" s="11" t="s">
        <v>54</v>
      </c>
      <c r="G45" s="35" t="s">
        <v>147</v>
      </c>
      <c r="H45" s="35"/>
      <c r="I45" s="35"/>
      <c r="J45" s="38" t="n">
        <f aca="false">b_dp</f>
        <v>60.9255967131447</v>
      </c>
      <c r="K45" s="38"/>
      <c r="L45" s="11" t="s">
        <v>104</v>
      </c>
    </row>
    <row r="46" customFormat="false" ht="15" hidden="false" customHeight="false" outlineLevel="0" collapsed="false">
      <c r="B46" s="7" t="s">
        <v>148</v>
      </c>
      <c r="C46" s="13" t="n">
        <v>110</v>
      </c>
      <c r="D46" s="11" t="s">
        <v>54</v>
      </c>
      <c r="G46" s="35" t="s">
        <v>149</v>
      </c>
      <c r="H46" s="35"/>
      <c r="I46" s="35"/>
      <c r="J46" s="37" t="n">
        <f aca="false">INDEX(CALCULO!$D$134:$M$134,det_k)</f>
        <v>0.89429949952857</v>
      </c>
      <c r="K46" s="37"/>
      <c r="L46" s="11"/>
      <c r="N46" s="2" t="s">
        <v>150</v>
      </c>
      <c r="O46" s="2"/>
      <c r="P46" s="2"/>
      <c r="Q46" s="2"/>
      <c r="R46" s="2"/>
      <c r="S46" s="2"/>
      <c r="T46" s="2"/>
      <c r="U46" s="2"/>
    </row>
    <row r="47" customFormat="false" ht="15" hidden="false" customHeight="false" outlineLevel="0" collapsed="false">
      <c r="B47" s="7" t="s">
        <v>151</v>
      </c>
      <c r="C47" s="13" t="n">
        <v>50</v>
      </c>
      <c r="D47" s="11" t="s">
        <v>54</v>
      </c>
      <c r="N47" s="39" t="s">
        <v>152</v>
      </c>
      <c r="O47" s="39"/>
      <c r="P47" s="39"/>
      <c r="Q47" s="39"/>
      <c r="R47" s="39"/>
      <c r="S47" s="39"/>
      <c r="T47" s="39"/>
      <c r="U47" s="39"/>
    </row>
    <row r="48" customFormat="false" ht="15" hidden="false" customHeight="false" outlineLevel="0" collapsed="false">
      <c r="B48" s="7" t="s">
        <v>153</v>
      </c>
      <c r="C48" s="13" t="n">
        <v>50</v>
      </c>
      <c r="D48" s="11" t="s">
        <v>54</v>
      </c>
      <c r="N48" s="39" t="s">
        <v>154</v>
      </c>
      <c r="O48" s="39"/>
      <c r="P48" s="39"/>
      <c r="Q48" s="39"/>
      <c r="R48" s="39"/>
      <c r="S48" s="39"/>
      <c r="T48" s="39"/>
      <c r="U48" s="39"/>
    </row>
    <row r="49" customFormat="false" ht="15" hidden="false" customHeight="false" outlineLevel="0" collapsed="false">
      <c r="B49" s="7" t="s">
        <v>155</v>
      </c>
      <c r="C49" s="13" t="n">
        <v>90</v>
      </c>
      <c r="D49" s="11" t="s">
        <v>54</v>
      </c>
      <c r="N49" s="39" t="s">
        <v>156</v>
      </c>
      <c r="O49" s="39"/>
      <c r="P49" s="39"/>
      <c r="Q49" s="39"/>
      <c r="R49" s="39"/>
      <c r="S49" s="39"/>
      <c r="T49" s="39"/>
      <c r="U49" s="39"/>
    </row>
    <row r="50" customFormat="false" ht="15" hidden="false" customHeight="false" outlineLevel="0" collapsed="false">
      <c r="B50" s="7" t="s">
        <v>157</v>
      </c>
      <c r="C50" s="13" t="n">
        <v>40</v>
      </c>
      <c r="D50" s="11" t="s">
        <v>54</v>
      </c>
      <c r="N50" s="39" t="s">
        <v>158</v>
      </c>
      <c r="O50" s="39"/>
      <c r="P50" s="39"/>
      <c r="Q50" s="39"/>
      <c r="R50" s="39"/>
      <c r="S50" s="39"/>
      <c r="T50" s="39"/>
      <c r="U50" s="39"/>
    </row>
    <row r="51" customFormat="false" ht="15" hidden="false" customHeight="false" outlineLevel="0" collapsed="false">
      <c r="B51" s="2" t="s">
        <v>159</v>
      </c>
      <c r="C51" s="2"/>
      <c r="D51" s="2"/>
      <c r="E51" s="2"/>
      <c r="N51" s="39" t="s">
        <v>160</v>
      </c>
      <c r="O51" s="39"/>
      <c r="P51" s="39"/>
      <c r="Q51" s="39"/>
      <c r="R51" s="39"/>
      <c r="S51" s="39"/>
      <c r="T51" s="39"/>
      <c r="U51" s="39"/>
    </row>
    <row r="52" customFormat="false" ht="15" hidden="false" customHeight="false" outlineLevel="0" collapsed="false">
      <c r="B52" s="7" t="s">
        <v>161</v>
      </c>
      <c r="C52" s="13" t="s">
        <v>162</v>
      </c>
      <c r="D52" s="13"/>
      <c r="E52" s="13"/>
      <c r="N52" s="39" t="s">
        <v>163</v>
      </c>
      <c r="O52" s="39"/>
      <c r="P52" s="39"/>
      <c r="Q52" s="39"/>
      <c r="R52" s="39"/>
      <c r="S52" s="39"/>
      <c r="T52" s="39"/>
      <c r="U52" s="39"/>
    </row>
    <row r="53" customFormat="false" ht="15" hidden="false" customHeight="false" outlineLevel="0" collapsed="false">
      <c r="B53" s="7" t="s">
        <v>164</v>
      </c>
      <c r="C53" s="26" t="n">
        <f aca="false">INDEX(CATALOGOS!$R$5:$R$8,MATCH(pn_grado,CATALOGOS!$Q$5:$Q$8,0))</f>
        <v>6328</v>
      </c>
      <c r="D53" s="11" t="s">
        <v>76</v>
      </c>
      <c r="E53" s="27" t="n">
        <f aca="false">INDEX(CATALOGOS!$S$5:$S$8,MATCH(pn_grado,CATALOGOS!$Q$5:$Q$8,0))</f>
        <v>3797</v>
      </c>
      <c r="N53" s="39" t="s">
        <v>165</v>
      </c>
      <c r="O53" s="39"/>
      <c r="P53" s="39"/>
      <c r="Q53" s="39"/>
      <c r="R53" s="39"/>
      <c r="S53" s="39"/>
      <c r="T53" s="39"/>
      <c r="U53" s="39"/>
    </row>
    <row r="54" customFormat="false" ht="15" hidden="false" customHeight="false" outlineLevel="0" collapsed="false">
      <c r="B54" s="7" t="s">
        <v>166</v>
      </c>
      <c r="C54" s="13" t="s">
        <v>167</v>
      </c>
      <c r="D54" s="13"/>
    </row>
    <row r="55" customFormat="false" ht="15" hidden="false" customHeight="false" outlineLevel="0" collapsed="false">
      <c r="B55" s="2" t="s">
        <v>168</v>
      </c>
      <c r="C55" s="2"/>
      <c r="D55" s="2"/>
      <c r="E55" s="2"/>
    </row>
    <row r="56" customFormat="false" ht="15" hidden="false" customHeight="false" outlineLevel="0" collapsed="false">
      <c r="B56" s="7" t="s">
        <v>169</v>
      </c>
      <c r="C56" s="13" t="s">
        <v>170</v>
      </c>
      <c r="D56" s="13"/>
    </row>
    <row r="57" customFormat="false" ht="15" hidden="false" customHeight="false" outlineLevel="0" collapsed="false">
      <c r="B57" s="7" t="s">
        <v>171</v>
      </c>
      <c r="C57" s="13" t="n">
        <v>10</v>
      </c>
      <c r="D57" s="11" t="s">
        <v>54</v>
      </c>
    </row>
    <row r="58" customFormat="false" ht="15" hidden="false" customHeight="false" outlineLevel="0" collapsed="false">
      <c r="B58" s="7" t="s">
        <v>172</v>
      </c>
      <c r="C58" s="13" t="n">
        <v>6</v>
      </c>
      <c r="D58" s="11" t="s">
        <v>54</v>
      </c>
    </row>
  </sheetData>
  <mergeCells count="62">
    <mergeCell ref="B2:U2"/>
    <mergeCell ref="B3:U3"/>
    <mergeCell ref="B6:E6"/>
    <mergeCell ref="G6:I6"/>
    <mergeCell ref="J6:L6"/>
    <mergeCell ref="N6:U6"/>
    <mergeCell ref="C7:E7"/>
    <mergeCell ref="N7:U8"/>
    <mergeCell ref="C8:E8"/>
    <mergeCell ref="B10:E10"/>
    <mergeCell ref="C11:E11"/>
    <mergeCell ref="N11:U11"/>
    <mergeCell ref="C12:E12"/>
    <mergeCell ref="C13:E13"/>
    <mergeCell ref="C15:E15"/>
    <mergeCell ref="B16:E16"/>
    <mergeCell ref="C17:D17"/>
    <mergeCell ref="N19:U19"/>
    <mergeCell ref="G21:L21"/>
    <mergeCell ref="C22:D22"/>
    <mergeCell ref="N23:U23"/>
    <mergeCell ref="B26:E26"/>
    <mergeCell ref="C27:D27"/>
    <mergeCell ref="N29:U29"/>
    <mergeCell ref="C32:D32"/>
    <mergeCell ref="G35:L35"/>
    <mergeCell ref="H36:I36"/>
    <mergeCell ref="G37:I37"/>
    <mergeCell ref="J37:K37"/>
    <mergeCell ref="G38:I38"/>
    <mergeCell ref="J38:K38"/>
    <mergeCell ref="G39:I39"/>
    <mergeCell ref="J39:K39"/>
    <mergeCell ref="G40:I40"/>
    <mergeCell ref="J40:K40"/>
    <mergeCell ref="B41:E41"/>
    <mergeCell ref="G41:I41"/>
    <mergeCell ref="J41:K41"/>
    <mergeCell ref="C42:D42"/>
    <mergeCell ref="G42:I42"/>
    <mergeCell ref="J42:K42"/>
    <mergeCell ref="G43:I43"/>
    <mergeCell ref="J43:K43"/>
    <mergeCell ref="G44:I44"/>
    <mergeCell ref="J44:K44"/>
    <mergeCell ref="G45:I45"/>
    <mergeCell ref="J45:K45"/>
    <mergeCell ref="G46:I46"/>
    <mergeCell ref="J46:K46"/>
    <mergeCell ref="N46:U46"/>
    <mergeCell ref="N47:U47"/>
    <mergeCell ref="N48:U48"/>
    <mergeCell ref="N49:U49"/>
    <mergeCell ref="N50:U50"/>
    <mergeCell ref="B51:E51"/>
    <mergeCell ref="N51:U51"/>
    <mergeCell ref="C52:E52"/>
    <mergeCell ref="N52:U52"/>
    <mergeCell ref="N53:U53"/>
    <mergeCell ref="C54:D54"/>
    <mergeCell ref="B55:E55"/>
    <mergeCell ref="C56:D56"/>
  </mergeCells>
  <conditionalFormatting sqref="S12:S44">
    <cfRule type="expression" priority="2" aboveAverage="0" equalAverage="0" bottom="0" percent="0" rank="0" text="" dxfId="0">
      <formula>AND(ISNUMBER(S12),S12&gt;1)</formula>
    </cfRule>
    <cfRule type="expression" priority="3" aboveAverage="0" equalAverage="0" bottom="0" percent="0" rank="0" text="" dxfId="1">
      <formula>AND(ISNUMBER(S12),S12&gt;lim_verde,S12&lt;=1)</formula>
    </cfRule>
    <cfRule type="expression" priority="4" aboveAverage="0" equalAverage="0" bottom="0" percent="0" rank="0" text="" dxfId="2">
      <formula>AND(ISNUMBER(S12),S12&lt;=lim_verde)</formula>
    </cfRule>
  </conditionalFormatting>
  <conditionalFormatting sqref="L23:L32">
    <cfRule type="expression" priority="5" aboveAverage="0" equalAverage="0" bottom="0" percent="0" rank="0" text="" dxfId="0">
      <formula>AND(ISNUMBER(L23),L23&gt;1)</formula>
    </cfRule>
    <cfRule type="expression" priority="6" aboveAverage="0" equalAverage="0" bottom="0" percent="0" rank="0" text="" dxfId="1">
      <formula>AND(ISNUMBER(L23),L23&gt;lim_verde,L23&lt;=1)</formula>
    </cfRule>
    <cfRule type="expression" priority="7" aboveAverage="0" equalAverage="0" bottom="0" percent="0" rank="0" text="" dxfId="2">
      <formula>AND(ISNUMBER(L23),L23&lt;=lim_verde)</formula>
    </cfRule>
  </conditionalFormatting>
  <conditionalFormatting sqref="J46">
    <cfRule type="expression" priority="8" aboveAverage="0" equalAverage="0" bottom="0" percent="0" rank="0" text="" dxfId="0">
      <formula>AND(ISNUMBER(J46),J46&gt;1)</formula>
    </cfRule>
    <cfRule type="expression" priority="9" aboveAverage="0" equalAverage="0" bottom="0" percent="0" rank="0" text="" dxfId="1">
      <formula>AND(ISNUMBER(J46),J46&gt;lim_verde,J46&lt;=1)</formula>
    </cfRule>
    <cfRule type="expression" priority="10" aboveAverage="0" equalAverage="0" bottom="0" percent="0" rank="0" text="" dxfId="2">
      <formula>AND(ISNUMBER(J46),J46&lt;=lim_verde)</formula>
    </cfRule>
  </conditionalFormatting>
  <conditionalFormatting sqref="T12:T44">
    <cfRule type="expression" priority="11" aboveAverage="0" equalAverage="0" bottom="0" percent="0" rank="0" text="" dxfId="0">
      <formula>T12="NO CUMPLE"</formula>
    </cfRule>
    <cfRule type="expression" priority="12" aboveAverage="0" equalAverage="0" bottom="0" percent="0" rank="0" text="" dxfId="1">
      <formula>T12="AL LÍMITE"</formula>
    </cfRule>
    <cfRule type="expression" priority="13" aboveAverage="0" equalAverage="0" bottom="0" percent="0" rank="0" text="" dxfId="2">
      <formula>T12="CUMPLE"</formula>
    </cfRule>
    <cfRule type="expression" priority="14" aboveAverage="0" equalAverage="0" bottom="0" percent="0" rank="0" text="" dxfId="3">
      <formula>T12="N/A"</formula>
    </cfRule>
  </conditionalFormatting>
  <conditionalFormatting sqref="N7:U8">
    <cfRule type="expression" priority="15" aboveAverage="0" equalAverage="0" bottom="0" percent="0" rank="0" text="" dxfId="4">
      <formula>LEFT($N$7,1)="✖"</formula>
    </cfRule>
    <cfRule type="expression" priority="16" aboveAverage="0" equalAverage="0" bottom="0" percent="0" rank="0" text="" dxfId="5">
      <formula>LEFT($N$7,1)="▲"</formula>
    </cfRule>
    <cfRule type="expression" priority="17" aboveAverage="0" equalAverage="0" bottom="0" percent="0" rank="0" text="" dxfId="6">
      <formula>LEFT($N$7,1)="✔"</formula>
    </cfRule>
  </conditionalFormatting>
  <conditionalFormatting sqref="E18:E21">
    <cfRule type="expression" priority="18" aboveAverage="0" equalAverage="0" bottom="0" percent="0" rank="0" text="" dxfId="7">
      <formula>$C$17&lt;&gt;"ARMADO (flejes soldados)"</formula>
    </cfRule>
  </conditionalFormatting>
  <conditionalFormatting sqref="E28:E31">
    <cfRule type="expression" priority="19" aboveAverage="0" equalAverage="0" bottom="0" percent="0" rank="0" text="" dxfId="7">
      <formula>$C$27&lt;&gt;"ARMADO (flejes soldados)"</formula>
    </cfRule>
  </conditionalFormatting>
  <conditionalFormatting sqref="C27:E40">
    <cfRule type="expression" priority="20" aboveAverage="0" equalAverage="0" bottom="0" percent="0" rank="0" text="" dxfId="7">
      <formula>LEFT($C$11,3)&lt;&gt;"Rod"</formula>
    </cfRule>
  </conditionalFormatting>
  <conditionalFormatting sqref="C38:C39">
    <cfRule type="expression" priority="21" aboveAverage="0" equalAverage="0" bottom="0" percent="0" rank="0" text="" dxfId="7">
      <formula>$C$37&lt;&gt;"Sí"</formula>
    </cfRule>
  </conditionalFormatting>
  <conditionalFormatting sqref="C57">
    <cfRule type="expression" priority="22" aboveAverage="0" equalAverage="0" bottom="0" percent="0" rank="0" text="" dxfId="7">
      <formula>$C$15="CJP"</formula>
    </cfRule>
  </conditionalFormatting>
  <dataValidations count="12">
    <dataValidation allowBlank="true" errorStyle="stop" operator="between" showDropDown="false" showErrorMessage="false" showInputMessage="false" sqref="C37" type="list">
      <formula1>CATALOGOS!$AB$5:$AB$6</formula1>
      <formula2>0</formula2>
    </dataValidation>
    <dataValidation allowBlank="true" errorStyle="stop" operator="between" showDropDown="false" showErrorMessage="false" showInputMessage="false" sqref="C22 C32 C42" type="list">
      <formula1>CATALOGOS!$M$5:$M$10</formula1>
      <formula2>0</formula2>
    </dataValidation>
    <dataValidation allowBlank="true" error="Valor fuera de la lista. ¿Usarlo igual?" errorStyle="warning" operator="between" showDropDown="false" showErrorMessage="false" showInputMessage="false" sqref="C38 C40 C45" type="list">
      <formula1>CATALOGOS!$AJ$5:$AJ$25</formula1>
      <formula2>0</formula2>
    </dataValidation>
    <dataValidation allowBlank="true" errorStyle="stop" operator="between" showDropDown="false" showErrorMessage="false" showInputMessage="false" sqref="C12:C13" type="list">
      <formula1>CATALOGOS!$AF$5:$AF$7</formula1>
      <formula2>0</formula2>
    </dataValidation>
    <dataValidation allowBlank="true" errorStyle="stop" operator="between" showDropDown="false" showErrorMessage="false" showInputMessage="false" sqref="C11" type="list">
      <formula1>CATALOGOS!$AD$5:$AD$6</formula1>
      <formula2>0</formula2>
    </dataValidation>
    <dataValidation allowBlank="true" errorStyle="stop" operator="between" showDropDown="false" showErrorMessage="false" showInputMessage="false" sqref="C15" type="list">
      <formula1>CATALOGOS!$AH$5:$AH$6</formula1>
      <formula2>0</formula2>
    </dataValidation>
    <dataValidation allowBlank="true" errorStyle="stop" operator="between" showDropDown="false" showErrorMessage="false" showInputMessage="false" sqref="C17" type="list">
      <formula1>CATALOGOS!$A$5:$A$40</formula1>
      <formula2>0</formula2>
    </dataValidation>
    <dataValidation allowBlank="true" errorStyle="stop" operator="between" showDropDown="false" showErrorMessage="false" showInputMessage="false" sqref="C27" type="list">
      <formula1>CATALOGOS!$G$5:$G$40</formula1>
      <formula2>0</formula2>
    </dataValidation>
    <dataValidation allowBlank="true" errorStyle="stop" operator="between" showDropDown="false" showErrorMessage="false" showInputMessage="false" sqref="C52" type="list">
      <formula1>CATALOGOS!$Q$5:$Q$8</formula1>
      <formula2>0</formula2>
    </dataValidation>
    <dataValidation allowBlank="true" errorStyle="stop" operator="between" showDropDown="false" showErrorMessage="false" showInputMessage="false" sqref="C54" type="list">
      <formula1>CATALOGOS!$U$5:$U$10</formula1>
      <formula2>0</formula2>
    </dataValidation>
    <dataValidation allowBlank="true" errorStyle="stop" operator="between" showDropDown="false" showErrorMessage="false" showInputMessage="false" sqref="C56" type="list">
      <formula1>CATALOGOS!$Y$5:$Y$6</formula1>
      <formula2>0</formula2>
    </dataValidation>
    <dataValidation allowBlank="false" errorStyle="stop" operator="between" showDropDown="false" showErrorMessage="false" showInputMessage="false" sqref="H36" type="list">
      <formula1>$G$23:$G$32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4" topLeftCell="D95" activePane="bottomRight" state="frozen"/>
      <selection pane="topLeft" activeCell="A1" activeCellId="0" sqref="A1"/>
      <selection pane="topRight" activeCell="D1" activeCellId="0" sqref="D1"/>
      <selection pane="bottomLeft" activeCell="A95" activeCellId="0" sqref="A9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40" t="s">
        <v>173</v>
      </c>
    </row>
    <row r="2" customFormat="false" ht="15" hidden="false" customHeight="false" outlineLevel="0" collapsed="false">
      <c r="A2" s="3" t="s">
        <v>174</v>
      </c>
    </row>
    <row r="4" customFormat="false" ht="15" hidden="false" customHeight="false" outlineLevel="0" collapsed="false">
      <c r="A4" s="41" t="s">
        <v>175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" hidden="false" customHeight="false" outlineLevel="0" collapsed="false">
      <c r="A5" s="42" t="s">
        <v>176</v>
      </c>
      <c r="B5" s="42" t="s">
        <v>177</v>
      </c>
      <c r="C5" s="42" t="s">
        <v>178</v>
      </c>
      <c r="D5" s="43" t="n">
        <f aca="false">IF(LEFT(tipo,3)="Rod",1,0)</f>
        <v>1</v>
      </c>
    </row>
    <row r="6" customFormat="false" ht="15" hidden="false" customHeight="false" outlineLevel="0" collapsed="false">
      <c r="A6" s="42" t="s">
        <v>179</v>
      </c>
      <c r="B6" s="42" t="s">
        <v>180</v>
      </c>
      <c r="C6" s="42" t="s">
        <v>76</v>
      </c>
      <c r="D6" s="43" t="n">
        <f aca="false">2040000</f>
        <v>2040000</v>
      </c>
    </row>
    <row r="7" customFormat="false" ht="15" hidden="false" customHeight="false" outlineLevel="0" collapsed="false">
      <c r="A7" s="42" t="s">
        <v>181</v>
      </c>
      <c r="B7" s="42" t="s">
        <v>182</v>
      </c>
      <c r="C7" s="42" t="s">
        <v>178</v>
      </c>
      <c r="D7" s="44" t="n">
        <f aca="false">COS(RADIANS(theta))</f>
        <v>0.984807753012208</v>
      </c>
    </row>
    <row r="8" customFormat="false" ht="15" hidden="false" customHeight="false" outlineLevel="0" collapsed="false">
      <c r="A8" s="42" t="s">
        <v>183</v>
      </c>
      <c r="B8" s="42" t="s">
        <v>182</v>
      </c>
      <c r="C8" s="42" t="s">
        <v>178</v>
      </c>
      <c r="D8" s="44" t="n">
        <f aca="false">SIN(RADIANS(theta))</f>
        <v>0.17364817766693</v>
      </c>
    </row>
    <row r="9" customFormat="false" ht="15" hidden="false" customHeight="false" outlineLevel="0" collapsed="false">
      <c r="A9" s="42" t="s">
        <v>184</v>
      </c>
      <c r="B9" s="42" t="s">
        <v>185</v>
      </c>
      <c r="C9" s="42" t="s">
        <v>104</v>
      </c>
      <c r="D9" s="45" t="n">
        <f aca="false">IF(vg_dh&gt;0,vg_dh,vg_d_mm)/10</f>
        <v>60</v>
      </c>
    </row>
    <row r="10" customFormat="false" ht="15" hidden="false" customHeight="false" outlineLevel="0" collapsed="false">
      <c r="A10" s="42" t="s">
        <v>186</v>
      </c>
      <c r="B10" s="42" t="s">
        <v>187</v>
      </c>
      <c r="C10" s="42" t="s">
        <v>104</v>
      </c>
      <c r="D10" s="45" t="n">
        <f aca="false">vg_bf_mm/10</f>
        <v>18</v>
      </c>
    </row>
    <row r="11" customFormat="false" ht="15" hidden="false" customHeight="false" outlineLevel="0" collapsed="false">
      <c r="A11" s="42" t="s">
        <v>188</v>
      </c>
      <c r="B11" s="42" t="s">
        <v>189</v>
      </c>
      <c r="C11" s="42" t="s">
        <v>104</v>
      </c>
      <c r="D11" s="45" t="n">
        <f aca="false">vg_tw_mm/10</f>
        <v>0.6</v>
      </c>
    </row>
    <row r="12" customFormat="false" ht="15" hidden="false" customHeight="false" outlineLevel="0" collapsed="false">
      <c r="A12" s="42" t="s">
        <v>190</v>
      </c>
      <c r="B12" s="42" t="s">
        <v>191</v>
      </c>
      <c r="C12" s="42" t="s">
        <v>104</v>
      </c>
      <c r="D12" s="45" t="n">
        <f aca="false">vg_tf_mm/10</f>
        <v>1.2</v>
      </c>
    </row>
    <row r="13" customFormat="false" ht="15" hidden="false" customHeight="false" outlineLevel="0" collapsed="false">
      <c r="A13" s="42" t="s">
        <v>192</v>
      </c>
      <c r="B13" s="42" t="s">
        <v>193</v>
      </c>
      <c r="C13" s="42" t="s">
        <v>104</v>
      </c>
      <c r="D13" s="45" t="n">
        <f aca="false">b_d/k_cos</f>
        <v>60.9255967131447</v>
      </c>
    </row>
    <row r="14" customFormat="false" ht="15" hidden="false" customHeight="false" outlineLevel="0" collapsed="false">
      <c r="A14" s="42" t="s">
        <v>194</v>
      </c>
      <c r="B14" s="42" t="s">
        <v>195</v>
      </c>
      <c r="C14" s="42" t="s">
        <v>104</v>
      </c>
      <c r="D14" s="45" t="n">
        <f aca="false">b_tf/k_cos</f>
        <v>1.21851193426289</v>
      </c>
    </row>
    <row r="15" customFormat="false" ht="15" hidden="false" customHeight="false" outlineLevel="0" collapsed="false">
      <c r="A15" s="42" t="s">
        <v>196</v>
      </c>
      <c r="B15" s="42" t="s">
        <v>197</v>
      </c>
      <c r="C15" s="42" t="s">
        <v>104</v>
      </c>
      <c r="D15" s="45" t="n">
        <f aca="false">co_d_mm/10</f>
        <v>50</v>
      </c>
    </row>
    <row r="16" customFormat="false" ht="15" hidden="false" customHeight="false" outlineLevel="0" collapsed="false">
      <c r="A16" s="42" t="s">
        <v>198</v>
      </c>
      <c r="B16" s="42" t="s">
        <v>197</v>
      </c>
      <c r="C16" s="42" t="s">
        <v>104</v>
      </c>
      <c r="D16" s="45" t="n">
        <f aca="false">co_bf_mm/10</f>
        <v>25</v>
      </c>
    </row>
    <row r="17" customFormat="false" ht="15" hidden="false" customHeight="false" outlineLevel="0" collapsed="false">
      <c r="A17" s="42" t="s">
        <v>199</v>
      </c>
      <c r="B17" s="42" t="s">
        <v>197</v>
      </c>
      <c r="C17" s="42" t="s">
        <v>104</v>
      </c>
      <c r="D17" s="45" t="n">
        <f aca="false">co_tw_mm/10</f>
        <v>1</v>
      </c>
    </row>
    <row r="18" customFormat="false" ht="15" hidden="false" customHeight="false" outlineLevel="0" collapsed="false">
      <c r="A18" s="42" t="s">
        <v>200</v>
      </c>
      <c r="B18" s="42" t="s">
        <v>197</v>
      </c>
      <c r="C18" s="42" t="s">
        <v>104</v>
      </c>
      <c r="D18" s="45" t="n">
        <f aca="false">co_tf_mm/10</f>
        <v>1.5</v>
      </c>
    </row>
    <row r="19" customFormat="false" ht="15" hidden="false" customHeight="false" outlineLevel="0" collapsed="false">
      <c r="A19" s="42" t="s">
        <v>201</v>
      </c>
      <c r="B19" s="42" t="s">
        <v>202</v>
      </c>
      <c r="C19" s="42" t="s">
        <v>203</v>
      </c>
      <c r="D19" s="46" t="n">
        <f aca="false">2*c_bf*c_tf+(c_d-2*c_tf)*c_tw</f>
        <v>122</v>
      </c>
    </row>
    <row r="20" customFormat="false" ht="15" hidden="false" customHeight="false" outlineLevel="0" collapsed="false">
      <c r="A20" s="42" t="s">
        <v>204</v>
      </c>
      <c r="B20" s="42" t="s">
        <v>205</v>
      </c>
      <c r="C20" s="42" t="s">
        <v>104</v>
      </c>
      <c r="D20" s="45" t="n">
        <f aca="false">c_tf+co_kw/10</f>
        <v>2.1</v>
      </c>
    </row>
    <row r="21" customFormat="false" ht="15" hidden="false" customHeight="false" outlineLevel="0" collapsed="false">
      <c r="A21" s="42" t="s">
        <v>206</v>
      </c>
      <c r="B21" s="42" t="s">
        <v>207</v>
      </c>
      <c r="C21" s="42" t="s">
        <v>104</v>
      </c>
      <c r="D21" s="45" t="n">
        <f aca="false">pl_bp/10</f>
        <v>20</v>
      </c>
    </row>
    <row r="22" customFormat="false" ht="15" hidden="false" customHeight="false" outlineLevel="0" collapsed="false">
      <c r="A22" s="42" t="s">
        <v>208</v>
      </c>
      <c r="B22" s="42" t="s">
        <v>209</v>
      </c>
      <c r="C22" s="42" t="s">
        <v>104</v>
      </c>
      <c r="D22" s="45" t="n">
        <f aca="false">MIN(p_bp,b_bf+2.54)</f>
        <v>20</v>
      </c>
    </row>
    <row r="23" customFormat="false" ht="15" hidden="false" customHeight="false" outlineLevel="0" collapsed="false">
      <c r="A23" s="42" t="s">
        <v>210</v>
      </c>
      <c r="B23" s="42" t="s">
        <v>211</v>
      </c>
      <c r="C23" s="42" t="s">
        <v>104</v>
      </c>
      <c r="D23" s="45" t="n">
        <f aca="false">pl_tp/10</f>
        <v>2.5</v>
      </c>
    </row>
    <row r="24" customFormat="false" ht="15" hidden="false" customHeight="false" outlineLevel="0" collapsed="false">
      <c r="A24" s="42" t="s">
        <v>212</v>
      </c>
      <c r="B24" s="42" t="s">
        <v>213</v>
      </c>
      <c r="C24" s="42" t="s">
        <v>104</v>
      </c>
      <c r="D24" s="45" t="n">
        <f aca="false">pl_g/10</f>
        <v>11</v>
      </c>
    </row>
    <row r="25" customFormat="false" ht="15" hidden="false" customHeight="false" outlineLevel="0" collapsed="false">
      <c r="A25" s="42" t="s">
        <v>214</v>
      </c>
      <c r="B25" s="42" t="s">
        <v>215</v>
      </c>
      <c r="C25" s="42" t="s">
        <v>104</v>
      </c>
      <c r="D25" s="45" t="n">
        <f aca="false">pl_pfo/10</f>
        <v>5</v>
      </c>
    </row>
    <row r="26" customFormat="false" ht="15" hidden="false" customHeight="false" outlineLevel="0" collapsed="false">
      <c r="A26" s="42" t="s">
        <v>216</v>
      </c>
      <c r="B26" s="42" t="s">
        <v>217</v>
      </c>
      <c r="C26" s="42" t="s">
        <v>104</v>
      </c>
      <c r="D26" s="45" t="n">
        <f aca="false">pl_pfi/10</f>
        <v>5</v>
      </c>
    </row>
    <row r="27" customFormat="false" ht="15" hidden="false" customHeight="false" outlineLevel="0" collapsed="false">
      <c r="A27" s="42" t="s">
        <v>218</v>
      </c>
      <c r="B27" s="42" t="s">
        <v>219</v>
      </c>
      <c r="C27" s="42" t="s">
        <v>104</v>
      </c>
      <c r="D27" s="45" t="n">
        <f aca="false">pl_pb/10</f>
        <v>9</v>
      </c>
    </row>
    <row r="28" customFormat="false" ht="15" hidden="false" customHeight="false" outlineLevel="0" collapsed="false">
      <c r="A28" s="42" t="s">
        <v>220</v>
      </c>
      <c r="B28" s="42" t="s">
        <v>221</v>
      </c>
      <c r="C28" s="42" t="s">
        <v>104</v>
      </c>
      <c r="D28" s="45" t="n">
        <f aca="false">pl_de/10</f>
        <v>4</v>
      </c>
    </row>
    <row r="29" customFormat="false" ht="15" hidden="false" customHeight="false" outlineLevel="0" collapsed="false">
      <c r="A29" s="42" t="s">
        <v>222</v>
      </c>
      <c r="B29" s="42" t="s">
        <v>223</v>
      </c>
      <c r="C29" s="42" t="s">
        <v>104</v>
      </c>
      <c r="D29" s="45" t="n">
        <f aca="false">0.5*SQRT(p_bpe*p_g)</f>
        <v>7.41619848709566</v>
      </c>
    </row>
    <row r="30" customFormat="false" ht="15" hidden="false" customHeight="false" outlineLevel="0" collapsed="false">
      <c r="A30" s="42" t="s">
        <v>224</v>
      </c>
      <c r="B30" s="42" t="s">
        <v>225</v>
      </c>
      <c r="C30" s="42" t="s">
        <v>104</v>
      </c>
      <c r="D30" s="45" t="n">
        <f aca="false">MIN(p_pfi,p_s)</f>
        <v>5</v>
      </c>
    </row>
    <row r="31" customFormat="false" ht="15" hidden="false" customHeight="false" outlineLevel="0" collapsed="false">
      <c r="A31" s="42" t="s">
        <v>226</v>
      </c>
      <c r="B31" s="42" t="s">
        <v>227</v>
      </c>
      <c r="C31" s="42" t="s">
        <v>104</v>
      </c>
      <c r="D31" s="45" t="n">
        <f aca="false">b_dp-b_tfp/2+p_pfo</f>
        <v>65.3163407460133</v>
      </c>
    </row>
    <row r="32" customFormat="false" ht="15" hidden="false" customHeight="false" outlineLevel="0" collapsed="false">
      <c r="A32" s="42" t="s">
        <v>228</v>
      </c>
      <c r="B32" s="42" t="s">
        <v>229</v>
      </c>
      <c r="C32" s="42" t="s">
        <v>104</v>
      </c>
      <c r="D32" s="45" t="n">
        <f aca="false">b_dp-1.5*b_tfp-p_pfi</f>
        <v>54.0978288117504</v>
      </c>
    </row>
    <row r="33" customFormat="false" ht="15" hidden="false" customHeight="false" outlineLevel="0" collapsed="false">
      <c r="A33" s="42" t="s">
        <v>230</v>
      </c>
      <c r="B33" s="42" t="s">
        <v>231</v>
      </c>
      <c r="C33" s="42" t="s">
        <v>104</v>
      </c>
      <c r="D33" s="45" t="n">
        <f aca="false">h_i1-p_pb</f>
        <v>45.0978288117504</v>
      </c>
    </row>
    <row r="34" customFormat="false" ht="15" hidden="false" customHeight="false" outlineLevel="0" collapsed="false">
      <c r="A34" s="42" t="s">
        <v>232</v>
      </c>
      <c r="B34" s="42" t="s">
        <v>166</v>
      </c>
      <c r="C34" s="42" t="s">
        <v>233</v>
      </c>
      <c r="D34" s="45" t="n">
        <f aca="false">INDEX(CATALOGOS!$V$5:$V$10,MATCH(pn_diam,CATALOGOS!$U$5:$U$10,0))</f>
        <v>0.875</v>
      </c>
    </row>
    <row r="35" customFormat="false" ht="15" hidden="false" customHeight="false" outlineLevel="0" collapsed="false">
      <c r="A35" s="42" t="s">
        <v>232</v>
      </c>
      <c r="B35" s="42" t="s">
        <v>166</v>
      </c>
      <c r="C35" s="42" t="s">
        <v>104</v>
      </c>
      <c r="D35" s="45" t="n">
        <f aca="false">a_dbi*2.54</f>
        <v>2.2225</v>
      </c>
    </row>
    <row r="36" customFormat="false" ht="15" hidden="false" customHeight="false" outlineLevel="0" collapsed="false">
      <c r="A36" s="42" t="s">
        <v>234</v>
      </c>
      <c r="B36" s="42" t="s">
        <v>235</v>
      </c>
      <c r="C36" s="42" t="s">
        <v>203</v>
      </c>
      <c r="D36" s="45" t="n">
        <f aca="false">PI()*a_db^2/4</f>
        <v>3.87947913684022</v>
      </c>
    </row>
    <row r="37" customFormat="false" ht="15" hidden="false" customHeight="false" outlineLevel="0" collapsed="false">
      <c r="A37" s="42" t="s">
        <v>236</v>
      </c>
      <c r="B37" s="42" t="s">
        <v>237</v>
      </c>
      <c r="C37" s="42" t="s">
        <v>104</v>
      </c>
      <c r="D37" s="45" t="n">
        <f aca="false">IF(a_dbi&lt;1,a_dbi+1/16,a_dbi+1/8)*2.54</f>
        <v>2.38125</v>
      </c>
    </row>
    <row r="38" customFormat="false" ht="15" hidden="false" customHeight="false" outlineLevel="0" collapsed="false">
      <c r="A38" s="42" t="s">
        <v>238</v>
      </c>
      <c r="B38" s="42" t="s">
        <v>239</v>
      </c>
      <c r="C38" s="42" t="s">
        <v>104</v>
      </c>
      <c r="D38" s="45" t="n">
        <f aca="false">INDEX(CATALOGOS!$W$5:$W$10,MATCH(pn_diam,CATALOGOS!$U$5:$U$10,0))*2.54</f>
        <v>2.8575</v>
      </c>
    </row>
    <row r="39" customFormat="false" ht="15" hidden="false" customHeight="false" outlineLevel="0" collapsed="false">
      <c r="A39" s="42" t="s">
        <v>240</v>
      </c>
      <c r="B39" s="42" t="s">
        <v>241</v>
      </c>
      <c r="C39" s="42" t="s">
        <v>242</v>
      </c>
      <c r="D39" s="43" t="n">
        <f aca="false">pn_Fnt*a_Ab</f>
        <v>24549.3439779249</v>
      </c>
    </row>
    <row r="40" customFormat="false" ht="15" hidden="false" customHeight="false" outlineLevel="0" collapsed="false">
      <c r="A40" s="42" t="s">
        <v>243</v>
      </c>
      <c r="B40" s="42" t="s">
        <v>169</v>
      </c>
      <c r="C40" s="42" t="s">
        <v>76</v>
      </c>
      <c r="D40" s="43" t="n">
        <f aca="false">INDEX(CATALOGOS!$Z$5:$Z$6,MATCH(sd_elec,CATALOGOS!$Y$5:$Y$6,0))</f>
        <v>4920</v>
      </c>
    </row>
    <row r="41" customFormat="false" ht="15" hidden="false" customHeight="false" outlineLevel="0" collapsed="false">
      <c r="A41" s="41" t="s">
        <v>244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customFormat="false" ht="15" hidden="false" customHeight="false" outlineLevel="0" collapsed="false">
      <c r="A42" s="42" t="s">
        <v>245</v>
      </c>
      <c r="B42" s="42" t="s">
        <v>246</v>
      </c>
      <c r="C42" s="42" t="s">
        <v>178</v>
      </c>
      <c r="D42" s="43" t="n">
        <f aca="false">IF(cfg_u="Extendida — 1+1 (4E)",1,0)</f>
        <v>1</v>
      </c>
    </row>
    <row r="43" customFormat="false" ht="15" hidden="false" customHeight="false" outlineLevel="0" collapsed="false">
      <c r="A43" s="42" t="s">
        <v>247</v>
      </c>
      <c r="B43" s="42" t="s">
        <v>248</v>
      </c>
      <c r="C43" s="42" t="s">
        <v>178</v>
      </c>
      <c r="D43" s="47" t="n">
        <f aca="false">IF(xu_E=1,1,1.25)</f>
        <v>1</v>
      </c>
    </row>
    <row r="44" customFormat="false" ht="15" hidden="false" customHeight="false" outlineLevel="0" collapsed="false">
      <c r="A44" s="42" t="s">
        <v>249</v>
      </c>
      <c r="B44" s="42" t="s">
        <v>250</v>
      </c>
      <c r="C44" s="42" t="s">
        <v>104</v>
      </c>
      <c r="D44" s="45" t="n">
        <f aca="false">IF(cfg_u="Al ras — 1 fila (2 pernos)",h_i1,IF(cfg_u="Al ras — 2 filas (4 pernos)",h_i1+h_i2,h_out+h_i1))</f>
        <v>119.414169557764</v>
      </c>
    </row>
    <row r="45" customFormat="false" ht="15" hidden="false" customHeight="false" outlineLevel="0" collapsed="false">
      <c r="A45" s="42" t="s">
        <v>251</v>
      </c>
      <c r="B45" s="42" t="s">
        <v>252</v>
      </c>
      <c r="C45" s="42" t="s">
        <v>253</v>
      </c>
      <c r="D45" s="43" t="n">
        <f aca="false">0.75*2*a_Pt*xu_Sh</f>
        <v>4397309.28646768</v>
      </c>
    </row>
    <row r="46" customFormat="false" ht="15" hidden="false" customHeight="false" outlineLevel="0" collapsed="false">
      <c r="A46" s="42" t="s">
        <v>254</v>
      </c>
      <c r="B46" s="42" t="s">
        <v>255</v>
      </c>
      <c r="C46" s="42" t="s">
        <v>104</v>
      </c>
      <c r="D46" s="47" t="n">
        <f aca="false">IF(cfg_u="Al ras — 1 fila (2 pernos)",p_bpe/2*(h_i1*(1/p_pfe+1/p_s)-0.5)+2/p_g*(h_i1*(p_pfe+p_s)),IF(cfg_u="Al ras — 2 filas (4 pernos)",p_bpe/2*(h_i1/p_pfe+h_i2/p_s-0.5)+2/p_g*(h_i1*(p_pfe+0.75*p_pb)+h_i2*(p_s+0.25*p_pb))+p_g/2,p_bpe/2*(h_i1*(1/p_pfe+1/p_s)+h_out/p_pfo-0.5)+2/p_g*(h_i1*(p_pfe+p_s))))</f>
        <v>428.899178467614</v>
      </c>
    </row>
    <row r="47" customFormat="false" ht="15" hidden="false" customHeight="false" outlineLevel="0" collapsed="false">
      <c r="A47" s="42" t="s">
        <v>256</v>
      </c>
      <c r="B47" s="42" t="s">
        <v>257</v>
      </c>
      <c r="C47" s="42" t="s">
        <v>253</v>
      </c>
      <c r="D47" s="43" t="n">
        <f aca="false">0.9*pl_Fy*xu_Yp*p_tp^2</f>
        <v>8480140.94426436</v>
      </c>
    </row>
    <row r="48" customFormat="false" ht="15" hidden="false" customHeight="false" outlineLevel="0" collapsed="false">
      <c r="A48" s="42" t="s">
        <v>258</v>
      </c>
      <c r="B48" s="42" t="s">
        <v>259</v>
      </c>
      <c r="C48" s="42" t="s">
        <v>178</v>
      </c>
      <c r="D48" s="43" t="n">
        <f aca="false">IF(cfg_d="Al ras — 1 fila (2 pernos)",2,IF(cfg_d="Al ras — 2 filas (4 pernos)",4,4))</f>
        <v>2</v>
      </c>
    </row>
    <row r="49" customFormat="false" ht="15" hidden="false" customHeight="false" outlineLevel="0" collapsed="false">
      <c r="A49" s="42" t="s">
        <v>260</v>
      </c>
      <c r="B49" s="42" t="s">
        <v>261</v>
      </c>
      <c r="C49" s="42" t="s">
        <v>104</v>
      </c>
      <c r="D49" s="45" t="n">
        <f aca="false">MIN(IF(cfg_d="Extendida — 1+1 (4E)",MIN(p_de-a_dh/2,p_pfo+b_tfp+p_pfi-a_dh),p_pfi+b_tfp-a_dh/2),IF(cfg_d="Al ras — 2 filas (4 pernos)",p_pb-a_dh,1000))</f>
        <v>5.02788693426289</v>
      </c>
    </row>
    <row r="50" customFormat="false" ht="15" hidden="false" customHeight="false" outlineLevel="0" collapsed="false">
      <c r="A50" s="42" t="s">
        <v>262</v>
      </c>
      <c r="B50" s="42" t="s">
        <v>263</v>
      </c>
      <c r="C50" s="42" t="s">
        <v>242</v>
      </c>
      <c r="D50" s="43" t="n">
        <f aca="false">0.75*xu_nbc*pn_Fnv*a_Ab</f>
        <v>22095.5734238735</v>
      </c>
    </row>
    <row r="51" customFormat="false" ht="15" hidden="false" customHeight="false" outlineLevel="0" collapsed="false">
      <c r="A51" s="42" t="s">
        <v>262</v>
      </c>
      <c r="B51" s="42" t="s">
        <v>264</v>
      </c>
      <c r="C51" s="42" t="s">
        <v>242</v>
      </c>
      <c r="D51" s="43" t="n">
        <f aca="false">0.75*xu_nbc*MIN(1.2*xu_Lc,2.4*a_db)*p_tp*pl_Fu</f>
        <v>91411.425</v>
      </c>
    </row>
    <row r="52" customFormat="false" ht="15" hidden="false" customHeight="false" outlineLevel="0" collapsed="false">
      <c r="A52" s="42" t="s">
        <v>265</v>
      </c>
      <c r="B52" s="42" t="s">
        <v>266</v>
      </c>
      <c r="C52" s="42" t="s">
        <v>104</v>
      </c>
      <c r="D52" s="45" t="n">
        <f aca="false">0.5*SQRT(c_bf*p_g)</f>
        <v>8.2915619758885</v>
      </c>
    </row>
    <row r="53" customFormat="false" ht="15" hidden="false" customHeight="false" outlineLevel="0" collapsed="false">
      <c r="A53" s="42" t="s">
        <v>267</v>
      </c>
      <c r="B53" s="42" t="s">
        <v>268</v>
      </c>
      <c r="C53" s="42" t="s">
        <v>104</v>
      </c>
      <c r="D53" s="45" t="n">
        <f aca="false">p_pfo+b_tfp+p_pfi</f>
        <v>11.2185119342629</v>
      </c>
    </row>
    <row r="54" customFormat="false" ht="15" hidden="false" customHeight="false" outlineLevel="0" collapsed="false">
      <c r="A54" s="42" t="s">
        <v>269</v>
      </c>
      <c r="B54" s="42" t="s">
        <v>270</v>
      </c>
      <c r="C54" s="42" t="s">
        <v>104</v>
      </c>
      <c r="D54" s="47" t="n">
        <f aca="false">IF(cp_usar="Sí",c_bf/2*(h_i1*(1/xu_sc+1/MIN(xu_sc,p_pfi+(b_tfp-cp_t/10)/2))+h_out*(1/xu_sc+1/MIN(xu_sc,p_pfo+(b_tfp-cp_t/10)/2)))+2/p_g*(h_i1*(xu_sc+MIN(xu_sc,p_pfi+(b_tfp-cp_t/10)/2))+h_out*(xu_sc+MIN(xu_sc,p_pfo+(b_tfp-cp_t/10)/2))),c_bf/2*(h_i1/xu_sc+h_out/xu_sc)+2/p_g*(h_i1*(xu_sc+3*xu_c/4)+h_out*(xu_sc+xu_c/4)+xu_c^2/2)+p_g/2)</f>
        <v>766.790364935443</v>
      </c>
    </row>
    <row r="55" customFormat="false" ht="15" hidden="false" customHeight="false" outlineLevel="0" collapsed="false">
      <c r="A55" s="42" t="s">
        <v>271</v>
      </c>
      <c r="B55" s="42" t="s">
        <v>272</v>
      </c>
      <c r="C55" s="42" t="s">
        <v>253</v>
      </c>
      <c r="D55" s="43" t="n">
        <f aca="false">0.9*co_Fy*xu_Yc*c_tf^2</f>
        <v>5457917.96881487</v>
      </c>
    </row>
    <row r="56" customFormat="false" ht="15" hidden="false" customHeight="false" outlineLevel="0" collapsed="false">
      <c r="A56" s="42" t="s">
        <v>262</v>
      </c>
      <c r="B56" s="42" t="s">
        <v>273</v>
      </c>
      <c r="C56" s="42" t="s">
        <v>242</v>
      </c>
      <c r="D56" s="43" t="n">
        <f aca="false">0.9*6.25*co_Fy*c_tf^2*IF(co_dtop/10&lt;10*c_tf,0.5,1)</f>
        <v>22243.359375</v>
      </c>
    </row>
    <row r="57" customFormat="false" ht="15" hidden="false" customHeight="false" outlineLevel="0" collapsed="false">
      <c r="A57" s="42" t="s">
        <v>262</v>
      </c>
      <c r="B57" s="42" t="s">
        <v>274</v>
      </c>
      <c r="C57" s="42" t="s">
        <v>242</v>
      </c>
      <c r="D57" s="43" t="n">
        <f aca="false">1*(IF(co_dtop/10&gt;c_d,5,2.5)*c_k+b_tfp+2*p_tp)*co_Fy*c_tw</f>
        <v>40311.8194489341</v>
      </c>
    </row>
    <row r="58" customFormat="false" ht="15" hidden="false" customHeight="false" outlineLevel="0" collapsed="false">
      <c r="A58" s="42" t="s">
        <v>275</v>
      </c>
      <c r="B58" s="42" t="s">
        <v>276</v>
      </c>
      <c r="C58" s="42" t="s">
        <v>104</v>
      </c>
      <c r="D58" s="45" t="n">
        <f aca="false">b_tfp+2*IF(sd_tipo="CJP",0,sd_wf/10)+2*p_tp</f>
        <v>8.21851193426289</v>
      </c>
    </row>
    <row r="59" customFormat="false" ht="15" hidden="false" customHeight="false" outlineLevel="0" collapsed="false">
      <c r="A59" s="42" t="s">
        <v>262</v>
      </c>
      <c r="B59" s="42" t="s">
        <v>277</v>
      </c>
      <c r="C59" s="42" t="s">
        <v>242</v>
      </c>
      <c r="D59" s="43" t="n">
        <f aca="false">0.75*IF(co_dtop/10+b_dp&gt;=c_d/2,0.8*(1+3*(xu_Nc/c_d)*(c_tw/c_tf)^1.5),0.4*IF(xu_Nc/c_d&lt;=0.2,1+3*(xu_Nc/c_d)*(c_tw/c_tf)^1.5,1+(4*xu_Nc/c_d-0.2)*(c_tw/c_tf)^1.5))*c_tw^2*SQRT(k_E*co_Fy*c_tf/c_tw)</f>
        <v>78928.9200283381</v>
      </c>
    </row>
    <row r="60" customFormat="false" ht="15" hidden="false" customHeight="false" outlineLevel="0" collapsed="false">
      <c r="A60" s="42" t="s">
        <v>262</v>
      </c>
      <c r="B60" s="42" t="s">
        <v>278</v>
      </c>
      <c r="C60" s="42" t="s">
        <v>242</v>
      </c>
      <c r="D60" s="43" t="n">
        <f aca="false">IF(xu_E=1,0.9*co_Fy*(c_bf/2*(h_i1/xu_sc+h_out/xu_sc)+2/p_g*(h_i1*(xu_sc+3*xu_c/4)+h_out*(xu_sc+xu_c/4)+xu_c^2/2)+p_g/2)*c_tf^2/(b_dp-b_tfp),xu_Rfb)</f>
        <v>58778.5943256161</v>
      </c>
    </row>
    <row r="61" customFormat="false" ht="15" hidden="false" customHeight="false" outlineLevel="0" collapsed="false">
      <c r="A61" s="41" t="s">
        <v>279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customFormat="false" ht="15" hidden="false" customHeight="false" outlineLevel="0" collapsed="false">
      <c r="A62" s="42" t="s">
        <v>245</v>
      </c>
      <c r="B62" s="42" t="s">
        <v>246</v>
      </c>
      <c r="C62" s="42" t="s">
        <v>178</v>
      </c>
      <c r="D62" s="43" t="n">
        <f aca="false">IF(cfg_d="Extendida — 1+1 (4E)",1,0)</f>
        <v>0</v>
      </c>
    </row>
    <row r="63" customFormat="false" ht="15" hidden="false" customHeight="false" outlineLevel="0" collapsed="false">
      <c r="A63" s="42" t="s">
        <v>247</v>
      </c>
      <c r="B63" s="42" t="s">
        <v>248</v>
      </c>
      <c r="C63" s="42" t="s">
        <v>178</v>
      </c>
      <c r="D63" s="47" t="n">
        <f aca="false">IF(xd_E=1,1,1.25)</f>
        <v>1.25</v>
      </c>
    </row>
    <row r="64" customFormat="false" ht="15" hidden="false" customHeight="false" outlineLevel="0" collapsed="false">
      <c r="A64" s="42" t="s">
        <v>249</v>
      </c>
      <c r="B64" s="42" t="s">
        <v>250</v>
      </c>
      <c r="C64" s="42" t="s">
        <v>104</v>
      </c>
      <c r="D64" s="45" t="n">
        <f aca="false">IF(cfg_d="Al ras — 1 fila (2 pernos)",h_i1,IF(cfg_d="Al ras — 2 filas (4 pernos)",h_i1+h_i2,h_out+h_i1))</f>
        <v>54.0978288117504</v>
      </c>
    </row>
    <row r="65" customFormat="false" ht="15" hidden="false" customHeight="false" outlineLevel="0" collapsed="false">
      <c r="A65" s="42" t="s">
        <v>251</v>
      </c>
      <c r="B65" s="42" t="s">
        <v>252</v>
      </c>
      <c r="C65" s="42" t="s">
        <v>253</v>
      </c>
      <c r="D65" s="43" t="n">
        <f aca="false">0.75*2*a_Pt*xd_Sh</f>
        <v>1992099.31193783</v>
      </c>
    </row>
    <row r="66" customFormat="false" ht="15" hidden="false" customHeight="false" outlineLevel="0" collapsed="false">
      <c r="A66" s="42" t="s">
        <v>254</v>
      </c>
      <c r="B66" s="42" t="s">
        <v>255</v>
      </c>
      <c r="C66" s="42" t="s">
        <v>104</v>
      </c>
      <c r="D66" s="47" t="n">
        <f aca="false">IF(cfg_d="Al ras — 1 fila (2 pernos)",p_bpe/2*(h_i1*(1/p_pfe+1/p_s)-0.5)+2/p_g*(h_i1*(p_pfe+p_s)),IF(cfg_d="Al ras — 2 filas (4 pernos)",p_bpe/2*(h_i1/p_pfe+h_i2/p_s-0.5)+2/p_g*(h_i1*(p_pfe+0.75*p_pb)+h_i2*(p_s+0.25*p_pb))+p_g/2,p_bpe/2*(h_i1*(1/p_pfe+1/p_s)+h_out/p_pfo-0.5)+2/p_g*(h_i1*(p_pfe+p_s))))</f>
        <v>298.266496975588</v>
      </c>
    </row>
    <row r="67" customFormat="false" ht="15" hidden="false" customHeight="false" outlineLevel="0" collapsed="false">
      <c r="A67" s="42" t="s">
        <v>256</v>
      </c>
      <c r="B67" s="42" t="s">
        <v>257</v>
      </c>
      <c r="C67" s="42" t="s">
        <v>253</v>
      </c>
      <c r="D67" s="43" t="n">
        <f aca="false">0.9*pl_Fy*xd_Yp*p_tp^2</f>
        <v>5897287.8948892</v>
      </c>
    </row>
    <row r="68" customFormat="false" ht="15" hidden="false" customHeight="false" outlineLevel="0" collapsed="false">
      <c r="A68" s="42" t="s">
        <v>258</v>
      </c>
      <c r="B68" s="42" t="s">
        <v>259</v>
      </c>
      <c r="C68" s="42" t="s">
        <v>178</v>
      </c>
      <c r="D68" s="43" t="n">
        <f aca="false">IF(cfg_u="Al ras — 1 fila (2 pernos)",2,IF(cfg_u="Al ras — 2 filas (4 pernos)",4,4))</f>
        <v>4</v>
      </c>
    </row>
    <row r="69" customFormat="false" ht="15" hidden="false" customHeight="false" outlineLevel="0" collapsed="false">
      <c r="A69" s="42" t="s">
        <v>260</v>
      </c>
      <c r="B69" s="42" t="s">
        <v>261</v>
      </c>
      <c r="C69" s="42" t="s">
        <v>104</v>
      </c>
      <c r="D69" s="45" t="n">
        <f aca="false">MIN(IF(cfg_u="Extendida — 1+1 (4E)",MIN(p_de-a_dh/2,p_pfo+b_tfp+p_pfi-a_dh),p_pfi+b_tfp-a_dh/2),IF(cfg_u="Al ras — 2 filas (4 pernos)",p_pb-a_dh,1000))</f>
        <v>2.809375</v>
      </c>
    </row>
    <row r="70" customFormat="false" ht="15" hidden="false" customHeight="false" outlineLevel="0" collapsed="false">
      <c r="A70" s="42" t="s">
        <v>262</v>
      </c>
      <c r="B70" s="42" t="s">
        <v>263</v>
      </c>
      <c r="C70" s="42" t="s">
        <v>242</v>
      </c>
      <c r="D70" s="43" t="n">
        <f aca="false">0.75*xd_nbc*pn_Fnv*a_Ab</f>
        <v>44191.1468477469</v>
      </c>
    </row>
    <row r="71" customFormat="false" ht="15" hidden="false" customHeight="false" outlineLevel="0" collapsed="false">
      <c r="A71" s="42" t="s">
        <v>262</v>
      </c>
      <c r="B71" s="42" t="s">
        <v>264</v>
      </c>
      <c r="C71" s="42" t="s">
        <v>242</v>
      </c>
      <c r="D71" s="43" t="n">
        <f aca="false">0.75*xd_nbc*MIN(1.2*xd_Lc,2.4*a_db)*p_tp*pl_Fu</f>
        <v>115549.59375</v>
      </c>
    </row>
    <row r="72" customFormat="false" ht="15" hidden="false" customHeight="false" outlineLevel="0" collapsed="false">
      <c r="A72" s="42" t="s">
        <v>265</v>
      </c>
      <c r="B72" s="42" t="s">
        <v>266</v>
      </c>
      <c r="C72" s="42" t="s">
        <v>104</v>
      </c>
      <c r="D72" s="45" t="n">
        <f aca="false">0.5*SQRT(c_bf*p_g)</f>
        <v>8.2915619758885</v>
      </c>
    </row>
    <row r="73" customFormat="false" ht="15" hidden="false" customHeight="false" outlineLevel="0" collapsed="false">
      <c r="A73" s="42" t="s">
        <v>267</v>
      </c>
      <c r="B73" s="42" t="s">
        <v>268</v>
      </c>
      <c r="C73" s="42" t="s">
        <v>104</v>
      </c>
      <c r="D73" s="45" t="n">
        <f aca="false">p_pfo+b_tfp+p_pfi</f>
        <v>11.2185119342629</v>
      </c>
    </row>
    <row r="74" customFormat="false" ht="15" hidden="false" customHeight="false" outlineLevel="0" collapsed="false">
      <c r="A74" s="42" t="s">
        <v>269</v>
      </c>
      <c r="B74" s="42" t="s">
        <v>270</v>
      </c>
      <c r="C74" s="42" t="s">
        <v>104</v>
      </c>
      <c r="D74" s="47" t="n">
        <f aca="false">IF(cp_usar="Sí",c_bf/2*(h_i1*(1/xd_sc+1/MIN(xd_sc,p_pfi+(b_tfp-cp_t/10)/2))+h_out*(1/xd_sc+1/MIN(xd_sc,p_pfo+(b_tfp-cp_t/10)/2)))+2/p_g*(h_i1*(xd_sc+MIN(xd_sc,p_pfi+(b_tfp-cp_t/10)/2))+h_out*(xd_sc+MIN(xd_sc,p_pfo+(b_tfp-cp_t/10)/2))),c_bf/2*(h_i1/xd_sc+h_out/xd_sc)+2/p_g*(h_i1*(xd_sc+3*xd_c/4)+h_out*(xd_sc+xd_c/4)+xd_c^2/2)+p_g/2)</f>
        <v>766.790364935443</v>
      </c>
    </row>
    <row r="75" customFormat="false" ht="15" hidden="false" customHeight="false" outlineLevel="0" collapsed="false">
      <c r="A75" s="42" t="s">
        <v>271</v>
      </c>
      <c r="B75" s="42" t="s">
        <v>272</v>
      </c>
      <c r="C75" s="42" t="s">
        <v>253</v>
      </c>
      <c r="D75" s="43" t="n">
        <f aca="false">0.9*co_Fy*xd_Yc*c_tf^2</f>
        <v>5457917.96881487</v>
      </c>
    </row>
    <row r="76" customFormat="false" ht="15" hidden="false" customHeight="false" outlineLevel="0" collapsed="false">
      <c r="A76" s="42" t="s">
        <v>262</v>
      </c>
      <c r="B76" s="42" t="s">
        <v>273</v>
      </c>
      <c r="C76" s="42" t="s">
        <v>242</v>
      </c>
      <c r="D76" s="43" t="n">
        <f aca="false">0.9*6.25*co_Fy*c_tf^2*IF(co_dtop/10+b_dp&lt;10*c_tf,0.5,1)</f>
        <v>44486.71875</v>
      </c>
    </row>
    <row r="77" customFormat="false" ht="15" hidden="false" customHeight="false" outlineLevel="0" collapsed="false">
      <c r="A77" s="42" t="s">
        <v>262</v>
      </c>
      <c r="B77" s="42" t="s">
        <v>274</v>
      </c>
      <c r="C77" s="42" t="s">
        <v>242</v>
      </c>
      <c r="D77" s="43" t="n">
        <f aca="false">1*(IF(co_dtop/10+b_dp&gt;c_d,5,2.5)*c_k+b_tfp+2*p_tp)*co_Fy*c_tw</f>
        <v>58765.5694489341</v>
      </c>
    </row>
    <row r="78" customFormat="false" ht="15" hidden="false" customHeight="false" outlineLevel="0" collapsed="false">
      <c r="A78" s="42" t="s">
        <v>275</v>
      </c>
      <c r="B78" s="42" t="s">
        <v>276</v>
      </c>
      <c r="C78" s="42" t="s">
        <v>104</v>
      </c>
      <c r="D78" s="45" t="n">
        <f aca="false">b_tfp+2*IF(sd_tipo="CJP",0,sd_wf/10)+2*p_tp</f>
        <v>8.21851193426289</v>
      </c>
    </row>
    <row r="79" customFormat="false" ht="15" hidden="false" customHeight="false" outlineLevel="0" collapsed="false">
      <c r="A79" s="42" t="s">
        <v>262</v>
      </c>
      <c r="B79" s="42" t="s">
        <v>277</v>
      </c>
      <c r="C79" s="42" t="s">
        <v>242</v>
      </c>
      <c r="D79" s="43" t="n">
        <f aca="false">0.75*IF(co_dtop/10&gt;=c_d/2,0.8*(1+3*(xd_Nc/c_d)*(c_tw/c_tf)^1.5),0.4*IF(xd_Nc/c_d&lt;=0.2,1+3*(xd_Nc/c_d)*(c_tw/c_tf)^1.5,1+(4*xd_Nc/c_d-0.2)*(c_tw/c_tf)^1.5))*c_tw^2*SQRT(k_E*co_Fy*c_tf/c_tw)</f>
        <v>39464.460014169</v>
      </c>
    </row>
    <row r="80" customFormat="false" ht="15" hidden="false" customHeight="false" outlineLevel="0" collapsed="false">
      <c r="A80" s="42" t="s">
        <v>262</v>
      </c>
      <c r="B80" s="42" t="s">
        <v>278</v>
      </c>
      <c r="C80" s="42" t="s">
        <v>242</v>
      </c>
      <c r="D80" s="43" t="n">
        <f aca="false">IF(xd_E=1,0.9*co_Fy*(c_bf/2*(h_i1/xd_sc+h_out/xd_sc)+2/p_g*(h_i1*(xd_sc+3*xd_c/4)+h_out*(xd_sc+xd_c/4)+xd_c^2/2)+p_g/2)*c_tf^2/(b_dp-b_tfp),xd_Rfb)</f>
        <v>44486.71875</v>
      </c>
    </row>
    <row r="81" customFormat="false" ht="15" hidden="false" customHeight="false" outlineLevel="0" collapsed="false">
      <c r="A81" s="41" t="s">
        <v>280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 customFormat="false" ht="15" hidden="false" customHeight="false" outlineLevel="0" collapsed="false">
      <c r="A82" s="42" t="s">
        <v>262</v>
      </c>
      <c r="B82" s="42" t="s">
        <v>281</v>
      </c>
      <c r="C82" s="42" t="s">
        <v>242</v>
      </c>
      <c r="D82" s="43" t="n">
        <f aca="false">0.6*pl_Fy*p_bp*p_tp</f>
        <v>105450</v>
      </c>
    </row>
    <row r="83" customFormat="false" ht="15" hidden="false" customHeight="false" outlineLevel="0" collapsed="false">
      <c r="A83" s="42" t="s">
        <v>262</v>
      </c>
      <c r="B83" s="42" t="s">
        <v>282</v>
      </c>
      <c r="C83" s="42" t="s">
        <v>242</v>
      </c>
      <c r="D83" s="43" t="n">
        <f aca="false">0.75*0.6*pl_Fu*(p_bp-2*(a_dh+0.15875))*p_tp</f>
        <v>76707.45</v>
      </c>
    </row>
    <row r="84" customFormat="false" ht="15" hidden="false" customHeight="false" outlineLevel="0" collapsed="false">
      <c r="A84" s="42" t="s">
        <v>262</v>
      </c>
      <c r="B84" s="42" t="s">
        <v>283</v>
      </c>
      <c r="C84" s="42" t="s">
        <v>242</v>
      </c>
      <c r="D84" s="43" t="n">
        <f aca="false">IF(sd_tipo="CJP",0.9*MIN(vg_Fy,pl_Fy)*b_bf*b_tf,0.75*0.6*w_FEXX*0.707*sd_wf/10*(2*b_bf-b_tw)*1.5)</f>
        <v>83117.3238</v>
      </c>
    </row>
    <row r="85" customFormat="false" ht="15" hidden="false" customHeight="false" outlineLevel="0" collapsed="false">
      <c r="A85" s="42" t="s">
        <v>284</v>
      </c>
      <c r="B85" s="42" t="s">
        <v>285</v>
      </c>
      <c r="C85" s="42" t="s">
        <v>64</v>
      </c>
      <c r="D85" s="43" t="n">
        <f aca="false">0.9*vg_Fy*b_tw</f>
        <v>1898.1</v>
      </c>
    </row>
    <row r="86" customFormat="false" ht="15" hidden="false" customHeight="false" outlineLevel="0" collapsed="false">
      <c r="A86" s="42" t="s">
        <v>262</v>
      </c>
      <c r="B86" s="42" t="s">
        <v>286</v>
      </c>
      <c r="C86" s="42" t="s">
        <v>64</v>
      </c>
      <c r="D86" s="43" t="n">
        <f aca="false">0.75*0.6*w_FEXX*0.707*sd_ww/10*2*1.5</f>
        <v>2817.5364</v>
      </c>
    </row>
    <row r="87" customFormat="false" ht="15" hidden="false" customHeight="false" outlineLevel="0" collapsed="false">
      <c r="A87" s="42" t="s">
        <v>262</v>
      </c>
      <c r="B87" s="42" t="s">
        <v>287</v>
      </c>
      <c r="C87" s="42" t="s">
        <v>242</v>
      </c>
      <c r="D87" s="43" t="n">
        <f aca="false">0.75*0.6*w_FEXX*0.707*sd_ww/10*2*(b_dp/2-b_tfp)</f>
        <v>54931.2276579218</v>
      </c>
    </row>
    <row r="88" customFormat="false" ht="15" hidden="false" customHeight="false" outlineLevel="0" collapsed="false">
      <c r="A88" s="42" t="s">
        <v>262</v>
      </c>
      <c r="B88" s="42" t="s">
        <v>288</v>
      </c>
      <c r="C88" s="42" t="s">
        <v>242</v>
      </c>
      <c r="D88" s="43" t="n">
        <f aca="false">0.75*2.4*a_db*c_tf*co_Fu</f>
        <v>27423.4275</v>
      </c>
    </row>
    <row r="89" customFormat="false" ht="15" hidden="false" customHeight="false" outlineLevel="0" collapsed="false">
      <c r="A89" s="42" t="s">
        <v>262</v>
      </c>
      <c r="B89" s="42" t="s">
        <v>289</v>
      </c>
      <c r="C89" s="42" t="s">
        <v>242</v>
      </c>
      <c r="D89" s="43" t="n">
        <f aca="false">0.9*co_Fy*2*cp_b/10*cp_t/10</f>
        <v>83516.4</v>
      </c>
    </row>
    <row r="90" customFormat="false" ht="15" hidden="false" customHeight="false" outlineLevel="0" collapsed="false">
      <c r="A90" s="42" t="s">
        <v>290</v>
      </c>
      <c r="B90" s="42" t="s">
        <v>291</v>
      </c>
      <c r="C90" s="42" t="s">
        <v>242</v>
      </c>
      <c r="D90" s="43" t="n">
        <f aca="false">co_Fy*c_A</f>
        <v>428830</v>
      </c>
    </row>
    <row r="91" customFormat="false" ht="15" hidden="false" customHeight="false" outlineLevel="0" collapsed="false">
      <c r="A91" s="42" t="s">
        <v>292</v>
      </c>
      <c r="B91" s="42" t="s">
        <v>293</v>
      </c>
      <c r="C91" s="42" t="s">
        <v>242</v>
      </c>
      <c r="D91" s="43" t="n">
        <f aca="false">0.9*0.6*co_Fy*c_d*(c_tw+dp_t/10)*IF(Pu_col*1000&lt;=0.4*r_Py,1,1.4-Pu_col*1000/r_Py)</f>
        <v>94905</v>
      </c>
    </row>
    <row r="93" customFormat="false" ht="15" hidden="false" customHeight="false" outlineLevel="0" collapsed="false">
      <c r="A93" s="41" t="s">
        <v>294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</row>
    <row r="94" customFormat="false" ht="15" hidden="false" customHeight="false" outlineLevel="0" collapsed="false">
      <c r="A94" s="48" t="s">
        <v>295</v>
      </c>
      <c r="B94" s="48" t="s">
        <v>296</v>
      </c>
      <c r="C94" s="48" t="s">
        <v>20</v>
      </c>
      <c r="D94" s="48" t="n">
        <v>1</v>
      </c>
      <c r="E94" s="48" t="n">
        <v>2</v>
      </c>
      <c r="F94" s="48" t="n">
        <v>3</v>
      </c>
      <c r="G94" s="48" t="n">
        <v>4</v>
      </c>
      <c r="H94" s="48" t="n">
        <v>5</v>
      </c>
      <c r="I94" s="48" t="n">
        <v>6</v>
      </c>
      <c r="J94" s="48" t="n">
        <v>7</v>
      </c>
      <c r="K94" s="48" t="n">
        <v>8</v>
      </c>
      <c r="L94" s="48" t="n">
        <v>9</v>
      </c>
      <c r="M94" s="48" t="n">
        <v>10</v>
      </c>
    </row>
    <row r="95" customFormat="false" ht="15" hidden="false" customHeight="false" outlineLevel="0" collapsed="false">
      <c r="A95" s="42" t="s">
        <v>23</v>
      </c>
      <c r="B95" s="42" t="s">
        <v>297</v>
      </c>
      <c r="C95" s="42"/>
      <c r="D95" s="49" t="str">
        <f aca="false">IF(INDEX(cb_nom,1)="","",INDEX(cb_nom,1))</f>
        <v>1.2D+1.6Lr</v>
      </c>
      <c r="E95" s="49" t="str">
        <f aca="false">IF(INDEX(cb_nom,2)="","",INDEX(cb_nom,2))</f>
        <v>1.2D+0.5Lr+1.0W</v>
      </c>
      <c r="F95" s="49" t="str">
        <f aca="false">IF(INDEX(cb_nom,3)="","",INDEX(cb_nom,3))</f>
        <v>0.9D+1.0W (succión)</v>
      </c>
      <c r="G95" s="49" t="str">
        <f aca="false">IF(INDEX(cb_nom,4)="","",INDEX(cb_nom,4))</f>
        <v>1.2D+1.0E+Lr</v>
      </c>
      <c r="H95" s="49" t="str">
        <f aca="false">IF(INDEX(cb_nom,5)="","",INDEX(cb_nom,5))</f>
        <v>C5</v>
      </c>
      <c r="I95" s="49" t="str">
        <f aca="false">IF(INDEX(cb_nom,6)="","",INDEX(cb_nom,6))</f>
        <v>C6</v>
      </c>
      <c r="J95" s="49" t="str">
        <f aca="false">IF(INDEX(cb_nom,7)="","",INDEX(cb_nom,7))</f>
        <v>C7</v>
      </c>
      <c r="K95" s="49" t="str">
        <f aca="false">IF(INDEX(cb_nom,8)="","",INDEX(cb_nom,8))</f>
        <v>C8</v>
      </c>
      <c r="L95" s="49" t="str">
        <f aca="false">IF(INDEX(cb_nom,9)="","",INDEX(cb_nom,9))</f>
        <v>C9</v>
      </c>
      <c r="M95" s="49" t="str">
        <f aca="false">IF(INDEX(cb_nom,10)="","",INDEX(cb_nom,10))</f>
        <v>C10</v>
      </c>
    </row>
    <row r="96" customFormat="false" ht="15" hidden="false" customHeight="false" outlineLevel="0" collapsed="false">
      <c r="A96" s="42" t="s">
        <v>298</v>
      </c>
      <c r="B96" s="42" t="s">
        <v>299</v>
      </c>
      <c r="C96" s="42" t="s">
        <v>253</v>
      </c>
      <c r="D96" s="50" t="n">
        <f aca="false">N(INDEX(cb_M,1))*100000</f>
        <v>-1600000</v>
      </c>
      <c r="E96" s="50" t="n">
        <f aca="false">N(INDEX(cb_M,2))*100000</f>
        <v>-800000</v>
      </c>
      <c r="F96" s="50" t="n">
        <f aca="false">N(INDEX(cb_M,3))*100000</f>
        <v>650000</v>
      </c>
      <c r="G96" s="50" t="n">
        <f aca="false">N(INDEX(cb_M,4))*100000</f>
        <v>-1300000</v>
      </c>
      <c r="H96" s="50" t="n">
        <f aca="false">N(INDEX(cb_M,5))*100000</f>
        <v>0</v>
      </c>
      <c r="I96" s="50" t="n">
        <f aca="false">N(INDEX(cb_M,6))*100000</f>
        <v>0</v>
      </c>
      <c r="J96" s="50" t="n">
        <f aca="false">N(INDEX(cb_M,7))*100000</f>
        <v>0</v>
      </c>
      <c r="K96" s="50" t="n">
        <f aca="false">N(INDEX(cb_M,8))*100000</f>
        <v>0</v>
      </c>
      <c r="L96" s="50" t="n">
        <f aca="false">N(INDEX(cb_M,9))*100000</f>
        <v>0</v>
      </c>
      <c r="M96" s="50" t="n">
        <f aca="false">N(INDEX(cb_M,10))*100000</f>
        <v>0</v>
      </c>
    </row>
    <row r="97" customFormat="false" ht="15" hidden="false" customHeight="false" outlineLevel="0" collapsed="false">
      <c r="A97" s="42" t="s">
        <v>300</v>
      </c>
      <c r="B97" s="42" t="s">
        <v>301</v>
      </c>
      <c r="C97" s="42" t="s">
        <v>242</v>
      </c>
      <c r="D97" s="50" t="n">
        <f aca="false">ABS(N(INDEX(cb_V,1)))*1000</f>
        <v>6500</v>
      </c>
      <c r="E97" s="50" t="n">
        <f aca="false">ABS(N(INDEX(cb_V,2)))*1000</f>
        <v>3500</v>
      </c>
      <c r="F97" s="50" t="n">
        <f aca="false">ABS(N(INDEX(cb_V,3)))*1000</f>
        <v>2800</v>
      </c>
      <c r="G97" s="50" t="n">
        <f aca="false">ABS(N(INDEX(cb_V,4)))*1000</f>
        <v>5500</v>
      </c>
      <c r="H97" s="50" t="n">
        <f aca="false">ABS(N(INDEX(cb_V,5)))*1000</f>
        <v>0</v>
      </c>
      <c r="I97" s="50" t="n">
        <f aca="false">ABS(N(INDEX(cb_V,6)))*1000</f>
        <v>0</v>
      </c>
      <c r="J97" s="50" t="n">
        <f aca="false">ABS(N(INDEX(cb_V,7)))*1000</f>
        <v>0</v>
      </c>
      <c r="K97" s="50" t="n">
        <f aca="false">ABS(N(INDEX(cb_V,8)))*1000</f>
        <v>0</v>
      </c>
      <c r="L97" s="50" t="n">
        <f aca="false">ABS(N(INDEX(cb_V,9)))*1000</f>
        <v>0</v>
      </c>
      <c r="M97" s="50" t="n">
        <f aca="false">ABS(N(INDEX(cb_V,10)))*1000</f>
        <v>0</v>
      </c>
    </row>
    <row r="98" customFormat="false" ht="15" hidden="false" customHeight="false" outlineLevel="0" collapsed="false">
      <c r="A98" s="42" t="s">
        <v>302</v>
      </c>
      <c r="B98" s="42" t="s">
        <v>303</v>
      </c>
      <c r="C98" s="42" t="s">
        <v>242</v>
      </c>
      <c r="D98" s="50" t="n">
        <f aca="false">N(INDEX(cb_P,1))*1000</f>
        <v>-4000</v>
      </c>
      <c r="E98" s="50" t="n">
        <f aca="false">N(INDEX(cb_P,2))*1000</f>
        <v>-2000</v>
      </c>
      <c r="F98" s="50" t="n">
        <f aca="false">N(INDEX(cb_P,3))*1000</f>
        <v>1500</v>
      </c>
      <c r="G98" s="50" t="n">
        <f aca="false">N(INDEX(cb_P,4))*1000</f>
        <v>-3500</v>
      </c>
      <c r="H98" s="50" t="n">
        <f aca="false">N(INDEX(cb_P,5))*1000</f>
        <v>0</v>
      </c>
      <c r="I98" s="50" t="n">
        <f aca="false">N(INDEX(cb_P,6))*1000</f>
        <v>0</v>
      </c>
      <c r="J98" s="50" t="n">
        <f aca="false">N(INDEX(cb_P,7))*1000</f>
        <v>0</v>
      </c>
      <c r="K98" s="50" t="n">
        <f aca="false">N(INDEX(cb_P,8))*1000</f>
        <v>0</v>
      </c>
      <c r="L98" s="50" t="n">
        <f aca="false">N(INDEX(cb_P,9))*1000</f>
        <v>0</v>
      </c>
      <c r="M98" s="50" t="n">
        <f aca="false">N(INDEX(cb_P,10))*1000</f>
        <v>0</v>
      </c>
    </row>
    <row r="99" customFormat="false" ht="15" hidden="false" customHeight="false" outlineLevel="0" collapsed="false">
      <c r="A99" s="42" t="s">
        <v>304</v>
      </c>
      <c r="B99" s="42" t="s">
        <v>305</v>
      </c>
      <c r="C99" s="42" t="s">
        <v>178</v>
      </c>
      <c r="D99" s="50" t="n">
        <f aca="false">IF(ABS(D96)+D97+ABS(D98)&gt;0,1,0)</f>
        <v>1</v>
      </c>
      <c r="E99" s="50" t="n">
        <f aca="false">IF(ABS(E96)+E97+ABS(E98)&gt;0,1,0)</f>
        <v>1</v>
      </c>
      <c r="F99" s="50" t="n">
        <f aca="false">IF(ABS(F96)+F97+ABS(F98)&gt;0,1,0)</f>
        <v>1</v>
      </c>
      <c r="G99" s="50" t="n">
        <f aca="false">IF(ABS(G96)+G97+ABS(G98)&gt;0,1,0)</f>
        <v>1</v>
      </c>
      <c r="H99" s="50" t="n">
        <f aca="false">IF(ABS(H96)+H97+ABS(H98)&gt;0,1,0)</f>
        <v>0</v>
      </c>
      <c r="I99" s="50" t="n">
        <f aca="false">IF(ABS(I96)+I97+ABS(I98)&gt;0,1,0)</f>
        <v>0</v>
      </c>
      <c r="J99" s="50" t="n">
        <f aca="false">IF(ABS(J96)+J97+ABS(J98)&gt;0,1,0)</f>
        <v>0</v>
      </c>
      <c r="K99" s="50" t="n">
        <f aca="false">IF(ABS(K96)+K97+ABS(K98)&gt;0,1,0)</f>
        <v>0</v>
      </c>
      <c r="L99" s="50" t="n">
        <f aca="false">IF(ABS(L96)+L97+ABS(L98)&gt;0,1,0)</f>
        <v>0</v>
      </c>
      <c r="M99" s="50" t="n">
        <f aca="false">IF(ABS(M96)+M97+ABS(M98)&gt;0,1,0)</f>
        <v>0</v>
      </c>
    </row>
    <row r="100" customFormat="false" ht="15" hidden="false" customHeight="false" outlineLevel="0" collapsed="false">
      <c r="A100" s="42" t="s">
        <v>306</v>
      </c>
      <c r="B100" s="42" t="s">
        <v>307</v>
      </c>
      <c r="C100" s="42" t="s">
        <v>178</v>
      </c>
      <c r="D100" s="50" t="n">
        <f aca="false">IF(D96&lt;0,1,0)</f>
        <v>1</v>
      </c>
      <c r="E100" s="50" t="n">
        <f aca="false">IF(E96&lt;0,1,0)</f>
        <v>1</v>
      </c>
      <c r="F100" s="50" t="n">
        <f aca="false">IF(F96&lt;0,1,0)</f>
        <v>0</v>
      </c>
      <c r="G100" s="50" t="n">
        <f aca="false">IF(G96&lt;0,1,0)</f>
        <v>1</v>
      </c>
      <c r="H100" s="50" t="n">
        <f aca="false">IF(H96&lt;0,1,0)</f>
        <v>0</v>
      </c>
      <c r="I100" s="50" t="n">
        <f aca="false">IF(I96&lt;0,1,0)</f>
        <v>0</v>
      </c>
      <c r="J100" s="50" t="n">
        <f aca="false">IF(J96&lt;0,1,0)</f>
        <v>0</v>
      </c>
      <c r="K100" s="50" t="n">
        <f aca="false">IF(K96&lt;0,1,0)</f>
        <v>0</v>
      </c>
      <c r="L100" s="50" t="n">
        <f aca="false">IF(L96&lt;0,1,0)</f>
        <v>0</v>
      </c>
      <c r="M100" s="50" t="n">
        <f aca="false">IF(M96&lt;0,1,0)</f>
        <v>0</v>
      </c>
    </row>
    <row r="101" customFormat="false" ht="15" hidden="false" customHeight="false" outlineLevel="0" collapsed="false">
      <c r="A101" s="42" t="s">
        <v>308</v>
      </c>
      <c r="B101" s="42" t="s">
        <v>309</v>
      </c>
      <c r="C101" s="42" t="s">
        <v>242</v>
      </c>
      <c r="D101" s="50" t="n">
        <f aca="false">MAX(0,D98)*k_cos+D97*k_sin</f>
        <v>1128.71315483505</v>
      </c>
      <c r="E101" s="50" t="n">
        <f aca="false">MAX(0,E98)*k_cos+E97*k_sin</f>
        <v>607.768621834256</v>
      </c>
      <c r="F101" s="50" t="n">
        <f aca="false">MAX(0,F98)*k_cos+F97*k_sin</f>
        <v>1963.42652698572</v>
      </c>
      <c r="G101" s="50" t="n">
        <f aca="false">MAX(0,G98)*k_cos+G97*k_sin</f>
        <v>955.064977168117</v>
      </c>
      <c r="H101" s="50" t="n">
        <f aca="false">MAX(0,H98)*k_cos+H97*k_sin</f>
        <v>0</v>
      </c>
      <c r="I101" s="50" t="n">
        <f aca="false">MAX(0,I98)*k_cos+I97*k_sin</f>
        <v>0</v>
      </c>
      <c r="J101" s="50" t="n">
        <f aca="false">MAX(0,J98)*k_cos+J97*k_sin</f>
        <v>0</v>
      </c>
      <c r="K101" s="50" t="n">
        <f aca="false">MAX(0,K98)*k_cos+K97*k_sin</f>
        <v>0</v>
      </c>
      <c r="L101" s="50" t="n">
        <f aca="false">MAX(0,L98)*k_cos+L97*k_sin</f>
        <v>0</v>
      </c>
      <c r="M101" s="50" t="n">
        <f aca="false">MAX(0,M98)*k_cos+M97*k_sin</f>
        <v>0</v>
      </c>
    </row>
    <row r="102" customFormat="false" ht="15" hidden="false" customHeight="false" outlineLevel="0" collapsed="false">
      <c r="A102" s="42" t="s">
        <v>310</v>
      </c>
      <c r="B102" s="42" t="s">
        <v>311</v>
      </c>
      <c r="C102" s="42" t="s">
        <v>242</v>
      </c>
      <c r="D102" s="50" t="n">
        <f aca="false">D97*k_cos+ABS(D98)*k_sin</f>
        <v>7095.84310524707</v>
      </c>
      <c r="E102" s="50" t="n">
        <f aca="false">E97*k_cos+ABS(E98)*k_sin</f>
        <v>3794.12349087659</v>
      </c>
      <c r="F102" s="50" t="n">
        <f aca="false">F97*k_cos+ABS(F98)*k_sin</f>
        <v>3017.93397493458</v>
      </c>
      <c r="G102" s="50" t="n">
        <f aca="false">G97*k_cos+ABS(G98)*k_sin</f>
        <v>6024.2112634014</v>
      </c>
      <c r="H102" s="50" t="n">
        <f aca="false">H97*k_cos+ABS(H98)*k_sin</f>
        <v>0</v>
      </c>
      <c r="I102" s="50" t="n">
        <f aca="false">I97*k_cos+ABS(I98)*k_sin</f>
        <v>0</v>
      </c>
      <c r="J102" s="50" t="n">
        <f aca="false">J97*k_cos+ABS(J98)*k_sin</f>
        <v>0</v>
      </c>
      <c r="K102" s="50" t="n">
        <f aca="false">K97*k_cos+ABS(K98)*k_sin</f>
        <v>0</v>
      </c>
      <c r="L102" s="50" t="n">
        <f aca="false">L97*k_cos+ABS(L98)*k_sin</f>
        <v>0</v>
      </c>
      <c r="M102" s="50" t="n">
        <f aca="false">M97*k_cos+ABS(M98)*k_sin</f>
        <v>0</v>
      </c>
    </row>
    <row r="103" customFormat="false" ht="15" hidden="false" customHeight="false" outlineLevel="0" collapsed="false">
      <c r="A103" s="42" t="s">
        <v>312</v>
      </c>
      <c r="B103" s="42" t="s">
        <v>313</v>
      </c>
      <c r="C103" s="42" t="s">
        <v>253</v>
      </c>
      <c r="D103" s="50" t="n">
        <f aca="false">ABS(D96)+D101*(b_dp-b_tfp)/2</f>
        <v>1633696.08601339</v>
      </c>
      <c r="E103" s="50" t="n">
        <f aca="false">ABS(E96)+E101*(b_dp-b_tfp)/2</f>
        <v>818144.046314901</v>
      </c>
      <c r="F103" s="50" t="n">
        <f aca="false">ABS(F96)+F101*(b_dp-b_tfp)/2</f>
        <v>708615.237051921</v>
      </c>
      <c r="G103" s="50" t="n">
        <f aca="false">ABS(G96)+G101*(b_dp-b_tfp)/2</f>
        <v>1328512.07278056</v>
      </c>
      <c r="H103" s="50" t="n">
        <f aca="false">ABS(H96)+H101*(b_dp-b_tfp)/2</f>
        <v>0</v>
      </c>
      <c r="I103" s="50" t="n">
        <f aca="false">ABS(I96)+I101*(b_dp-b_tfp)/2</f>
        <v>0</v>
      </c>
      <c r="J103" s="50" t="n">
        <f aca="false">ABS(J96)+J101*(b_dp-b_tfp)/2</f>
        <v>0</v>
      </c>
      <c r="K103" s="50" t="n">
        <f aca="false">ABS(K96)+K101*(b_dp-b_tfp)/2</f>
        <v>0</v>
      </c>
      <c r="L103" s="50" t="n">
        <f aca="false">ABS(L96)+L101*(b_dp-b_tfp)/2</f>
        <v>0</v>
      </c>
      <c r="M103" s="50" t="n">
        <f aca="false">ABS(M96)+M101*(b_dp-b_tfp)/2</f>
        <v>0</v>
      </c>
    </row>
    <row r="104" customFormat="false" ht="15" hidden="false" customHeight="false" outlineLevel="0" collapsed="false">
      <c r="A104" s="42" t="s">
        <v>314</v>
      </c>
      <c r="B104" s="42" t="s">
        <v>315</v>
      </c>
      <c r="C104" s="42" t="s">
        <v>242</v>
      </c>
      <c r="D104" s="50" t="n">
        <f aca="false">D103/(b_dp-b_tfp)</f>
        <v>27361.8464553007</v>
      </c>
      <c r="E104" s="50" t="n">
        <f aca="false">E103/(b_dp-b_tfp)</f>
        <v>13702.6292498587</v>
      </c>
      <c r="F104" s="50" t="n">
        <f aca="false">F103/(b_dp-b_tfp)</f>
        <v>11868.1935263829</v>
      </c>
      <c r="G104" s="50" t="n">
        <f aca="false">G103/(b_dp-b_tfp)</f>
        <v>22250.4930143642</v>
      </c>
      <c r="H104" s="50" t="n">
        <f aca="false">H103/(b_dp-b_tfp)</f>
        <v>0</v>
      </c>
      <c r="I104" s="50" t="n">
        <f aca="false">I103/(b_dp-b_tfp)</f>
        <v>0</v>
      </c>
      <c r="J104" s="50" t="n">
        <f aca="false">J103/(b_dp-b_tfp)</f>
        <v>0</v>
      </c>
      <c r="K104" s="50" t="n">
        <f aca="false">K103/(b_dp-b_tfp)</f>
        <v>0</v>
      </c>
      <c r="L104" s="50" t="n">
        <f aca="false">L103/(b_dp-b_tfp)</f>
        <v>0</v>
      </c>
      <c r="M104" s="50" t="n">
        <f aca="false">M103/(b_dp-b_tfp)</f>
        <v>0</v>
      </c>
    </row>
    <row r="105" customFormat="false" ht="15" hidden="false" customHeight="false" outlineLevel="0" collapsed="false">
      <c r="A105" s="42" t="s">
        <v>316</v>
      </c>
      <c r="B105" s="42" t="s">
        <v>317</v>
      </c>
      <c r="C105" s="42" t="s">
        <v>54</v>
      </c>
      <c r="D105" s="51" t="n">
        <f aca="false">SQRT(2*D103/(PI()*0.75*pn_Fnt*IF(D100=1,xu_Sh,xd_Sh)))*10</f>
        <v>13.5467119857571</v>
      </c>
      <c r="E105" s="51" t="n">
        <f aca="false">SQRT(2*E103/(PI()*0.75*pn_Fnt*IF(E100=1,xu_Sh,xd_Sh)))*10</f>
        <v>9.58656784889102</v>
      </c>
      <c r="F105" s="51" t="n">
        <f aca="false">SQRT(2*F103/(PI()*0.75*pn_Fnt*IF(F100=1,xu_Sh,xd_Sh)))*10</f>
        <v>13.255359787089</v>
      </c>
      <c r="G105" s="51" t="n">
        <f aca="false">SQRT(2*G103/(PI()*0.75*pn_Fnt*IF(G100=1,xu_Sh,xd_Sh)))*10</f>
        <v>12.2160560264192</v>
      </c>
      <c r="H105" s="51" t="n">
        <f aca="false">SQRT(2*H103/(PI()*0.75*pn_Fnt*IF(H100=1,xu_Sh,xd_Sh)))*10</f>
        <v>0</v>
      </c>
      <c r="I105" s="51" t="n">
        <f aca="false">SQRT(2*I103/(PI()*0.75*pn_Fnt*IF(I100=1,xu_Sh,xd_Sh)))*10</f>
        <v>0</v>
      </c>
      <c r="J105" s="51" t="n">
        <f aca="false">SQRT(2*J103/(PI()*0.75*pn_Fnt*IF(J100=1,xu_Sh,xd_Sh)))*10</f>
        <v>0</v>
      </c>
      <c r="K105" s="51" t="n">
        <f aca="false">SQRT(2*K103/(PI()*0.75*pn_Fnt*IF(K100=1,xu_Sh,xd_Sh)))*10</f>
        <v>0</v>
      </c>
      <c r="L105" s="51" t="n">
        <f aca="false">SQRT(2*L103/(PI()*0.75*pn_Fnt*IF(L100=1,xu_Sh,xd_Sh)))*10</f>
        <v>0</v>
      </c>
      <c r="M105" s="51" t="n">
        <f aca="false">SQRT(2*M103/(PI()*0.75*pn_Fnt*IF(M100=1,xu_Sh,xd_Sh)))*10</f>
        <v>0</v>
      </c>
    </row>
    <row r="106" customFormat="false" ht="15" hidden="false" customHeight="false" outlineLevel="0" collapsed="false">
      <c r="A106" s="42" t="s">
        <v>318</v>
      </c>
      <c r="B106" s="42" t="s">
        <v>319</v>
      </c>
      <c r="C106" s="42" t="s">
        <v>31</v>
      </c>
      <c r="D106" s="52" t="n">
        <f aca="false">IF(D100=1,xu_Mnp,xd_Mnp)/100000</f>
        <v>43.9730928646768</v>
      </c>
      <c r="E106" s="52" t="n">
        <f aca="false">IF(E100=1,xu_Mnp,xd_Mnp)/100000</f>
        <v>43.9730928646768</v>
      </c>
      <c r="F106" s="52" t="n">
        <f aca="false">IF(F100=1,xu_Mnp,xd_Mnp)/100000</f>
        <v>19.9209931193783</v>
      </c>
      <c r="G106" s="52" t="n">
        <f aca="false">IF(G100=1,xu_Mnp,xd_Mnp)/100000</f>
        <v>43.9730928646768</v>
      </c>
      <c r="H106" s="52" t="n">
        <f aca="false">IF(H100=1,xu_Mnp,xd_Mnp)/100000</f>
        <v>19.9209931193783</v>
      </c>
      <c r="I106" s="52" t="n">
        <f aca="false">IF(I100=1,xu_Mnp,xd_Mnp)/100000</f>
        <v>19.9209931193783</v>
      </c>
      <c r="J106" s="52" t="n">
        <f aca="false">IF(J100=1,xu_Mnp,xd_Mnp)/100000</f>
        <v>19.9209931193783</v>
      </c>
      <c r="K106" s="52" t="n">
        <f aca="false">IF(K100=1,xu_Mnp,xd_Mnp)/100000</f>
        <v>19.9209931193783</v>
      </c>
      <c r="L106" s="52" t="n">
        <f aca="false">IF(L100=1,xu_Mnp,xd_Mnp)/100000</f>
        <v>19.9209931193783</v>
      </c>
      <c r="M106" s="52" t="n">
        <f aca="false">IF(M100=1,xu_Mnp,xd_Mnp)/100000</f>
        <v>19.9209931193783</v>
      </c>
    </row>
    <row r="107" customFormat="false" ht="15" hidden="false" customHeight="false" outlineLevel="0" collapsed="false">
      <c r="A107" s="42" t="s">
        <v>320</v>
      </c>
      <c r="B107" s="42" t="s">
        <v>321</v>
      </c>
      <c r="C107" s="42" t="s">
        <v>178</v>
      </c>
      <c r="D107" s="53" t="n">
        <f aca="false">D103/IF(D100=1,xu_Mnp,xd_Mnp)</f>
        <v>0.371521760145673</v>
      </c>
      <c r="E107" s="53" t="n">
        <f aca="false">E103/IF(E100=1,xu_Mnp,xd_Mnp)</f>
        <v>0.18605560651207</v>
      </c>
      <c r="F107" s="53" t="n">
        <f aca="false">F103/IF(F100=1,xu_Mnp,xd_Mnp)</f>
        <v>0.35571280648785</v>
      </c>
      <c r="G107" s="53" t="n">
        <f aca="false">G103/IF(G100=1,xu_Mnp,xd_Mnp)</f>
        <v>0.302119315752689</v>
      </c>
      <c r="H107" s="53" t="n">
        <f aca="false">H103/IF(H100=1,xu_Mnp,xd_Mnp)</f>
        <v>0</v>
      </c>
      <c r="I107" s="53" t="n">
        <f aca="false">I103/IF(I100=1,xu_Mnp,xd_Mnp)</f>
        <v>0</v>
      </c>
      <c r="J107" s="53" t="n">
        <f aca="false">J103/IF(J100=1,xu_Mnp,xd_Mnp)</f>
        <v>0</v>
      </c>
      <c r="K107" s="53" t="n">
        <f aca="false">K103/IF(K100=1,xu_Mnp,xd_Mnp)</f>
        <v>0</v>
      </c>
      <c r="L107" s="53" t="n">
        <f aca="false">L103/IF(L100=1,xu_Mnp,xd_Mnp)</f>
        <v>0</v>
      </c>
      <c r="M107" s="53" t="n">
        <f aca="false">M103/IF(M100=1,xu_Mnp,xd_Mnp)</f>
        <v>0</v>
      </c>
    </row>
    <row r="108" customFormat="false" ht="15" hidden="false" customHeight="false" outlineLevel="0" collapsed="false">
      <c r="A108" s="42" t="s">
        <v>322</v>
      </c>
      <c r="B108" s="42" t="s">
        <v>323</v>
      </c>
      <c r="C108" s="42" t="s">
        <v>31</v>
      </c>
      <c r="D108" s="52" t="n">
        <f aca="false">1.11*IF(D100=1,xu_gr,xd_gr)*IF(D100=1,xu_Mnp,xd_Mnp)*D99/100000</f>
        <v>48.8101330797912</v>
      </c>
      <c r="E108" s="52" t="n">
        <f aca="false">1.11*IF(E100=1,xu_gr,xd_gr)*IF(E100=1,xu_Mnp,xd_Mnp)*E99/100000</f>
        <v>48.8101330797912</v>
      </c>
      <c r="F108" s="52" t="n">
        <f aca="false">1.11*IF(F100=1,xu_gr,xd_gr)*IF(F100=1,xu_Mnp,xd_Mnp)*F99/100000</f>
        <v>27.6403779531374</v>
      </c>
      <c r="G108" s="52" t="n">
        <f aca="false">1.11*IF(G100=1,xu_gr,xd_gr)*IF(G100=1,xu_Mnp,xd_Mnp)*G99/100000</f>
        <v>48.8101330797912</v>
      </c>
      <c r="H108" s="52" t="n">
        <f aca="false">1.11*IF(H100=1,xu_gr,xd_gr)*IF(H100=1,xu_Mnp,xd_Mnp)*H99/100000</f>
        <v>0</v>
      </c>
      <c r="I108" s="52" t="n">
        <f aca="false">1.11*IF(I100=1,xu_gr,xd_gr)*IF(I100=1,xu_Mnp,xd_Mnp)*I99/100000</f>
        <v>0</v>
      </c>
      <c r="J108" s="52" t="n">
        <f aca="false">1.11*IF(J100=1,xu_gr,xd_gr)*IF(J100=1,xu_Mnp,xd_Mnp)*J99/100000</f>
        <v>0</v>
      </c>
      <c r="K108" s="52" t="n">
        <f aca="false">1.11*IF(K100=1,xu_gr,xd_gr)*IF(K100=1,xu_Mnp,xd_Mnp)*K99/100000</f>
        <v>0</v>
      </c>
      <c r="L108" s="52" t="n">
        <f aca="false">1.11*IF(L100=1,xu_gr,xd_gr)*IF(L100=1,xu_Mnp,xd_Mnp)*L99/100000</f>
        <v>0</v>
      </c>
      <c r="M108" s="52" t="n">
        <f aca="false">1.11*IF(M100=1,xu_gr,xd_gr)*IF(M100=1,xu_Mnp,xd_Mnp)*M99/100000</f>
        <v>0</v>
      </c>
    </row>
    <row r="109" customFormat="false" ht="15" hidden="false" customHeight="false" outlineLevel="0" collapsed="false">
      <c r="A109" s="42" t="s">
        <v>318</v>
      </c>
      <c r="B109" s="42" t="s">
        <v>324</v>
      </c>
      <c r="C109" s="42" t="s">
        <v>31</v>
      </c>
      <c r="D109" s="52" t="n">
        <f aca="false">IF(D100=1,xu_Mpl,xd_Mpl)/100000</f>
        <v>84.8014094426436</v>
      </c>
      <c r="E109" s="52" t="n">
        <f aca="false">IF(E100=1,xu_Mpl,xd_Mpl)/100000</f>
        <v>84.8014094426436</v>
      </c>
      <c r="F109" s="52" t="n">
        <f aca="false">IF(F100=1,xu_Mpl,xd_Mpl)/100000</f>
        <v>58.972878948892</v>
      </c>
      <c r="G109" s="52" t="n">
        <f aca="false">IF(G100=1,xu_Mpl,xd_Mpl)/100000</f>
        <v>84.8014094426436</v>
      </c>
      <c r="H109" s="52" t="n">
        <f aca="false">IF(H100=1,xu_Mpl,xd_Mpl)/100000</f>
        <v>58.972878948892</v>
      </c>
      <c r="I109" s="52" t="n">
        <f aca="false">IF(I100=1,xu_Mpl,xd_Mpl)/100000</f>
        <v>58.972878948892</v>
      </c>
      <c r="J109" s="52" t="n">
        <f aca="false">IF(J100=1,xu_Mpl,xd_Mpl)/100000</f>
        <v>58.972878948892</v>
      </c>
      <c r="K109" s="52" t="n">
        <f aca="false">IF(K100=1,xu_Mpl,xd_Mpl)/100000</f>
        <v>58.972878948892</v>
      </c>
      <c r="L109" s="52" t="n">
        <f aca="false">IF(L100=1,xu_Mpl,xd_Mpl)/100000</f>
        <v>58.972878948892</v>
      </c>
      <c r="M109" s="52" t="n">
        <f aca="false">IF(M100=1,xu_Mpl,xd_Mpl)/100000</f>
        <v>58.972878948892</v>
      </c>
    </row>
    <row r="110" customFormat="false" ht="15" hidden="false" customHeight="false" outlineLevel="0" collapsed="false">
      <c r="A110" s="42" t="s">
        <v>320</v>
      </c>
      <c r="B110" s="42" t="s">
        <v>325</v>
      </c>
      <c r="C110" s="42" t="s">
        <v>178</v>
      </c>
      <c r="D110" s="53" t="n">
        <f aca="false">D108/D109</f>
        <v>0.575581625359712</v>
      </c>
      <c r="E110" s="53" t="n">
        <f aca="false">E108/E109</f>
        <v>0.575581625359712</v>
      </c>
      <c r="F110" s="53" t="n">
        <f aca="false">F108/F109</f>
        <v>0.468696432085189</v>
      </c>
      <c r="G110" s="53" t="n">
        <f aca="false">G108/G109</f>
        <v>0.575581625359712</v>
      </c>
      <c r="H110" s="53" t="n">
        <f aca="false">H108/H109</f>
        <v>0</v>
      </c>
      <c r="I110" s="53" t="n">
        <f aca="false">I108/I109</f>
        <v>0</v>
      </c>
      <c r="J110" s="53" t="n">
        <f aca="false">J108/J109</f>
        <v>0</v>
      </c>
      <c r="K110" s="53" t="n">
        <f aca="false">K108/K109</f>
        <v>0</v>
      </c>
      <c r="L110" s="53" t="n">
        <f aca="false">L108/L109</f>
        <v>0</v>
      </c>
      <c r="M110" s="53" t="n">
        <f aca="false">M108/M109</f>
        <v>0</v>
      </c>
    </row>
    <row r="111" customFormat="false" ht="15" hidden="false" customHeight="false" outlineLevel="0" collapsed="false">
      <c r="A111" s="42" t="s">
        <v>326</v>
      </c>
      <c r="B111" s="42" t="s">
        <v>327</v>
      </c>
      <c r="C111" s="42" t="s">
        <v>54</v>
      </c>
      <c r="D111" s="51" t="n">
        <f aca="false">SQRT(D108*100000/(0.9*pl_Fy*IF(D100=1,xu_Yp,xd_Yp)))*10</f>
        <v>18.9667739969089</v>
      </c>
      <c r="E111" s="51" t="n">
        <f aca="false">SQRT(E108*100000/(0.9*pl_Fy*IF(E100=1,xu_Yp,xd_Yp)))*10</f>
        <v>18.9667739969089</v>
      </c>
      <c r="F111" s="51" t="n">
        <f aca="false">SQRT(F108*100000/(0.9*pl_Fy*IF(F100=1,xu_Yp,xd_Yp)))*10</f>
        <v>17.1153518822501</v>
      </c>
      <c r="G111" s="51" t="n">
        <f aca="false">SQRT(G108*100000/(0.9*pl_Fy*IF(G100=1,xu_Yp,xd_Yp)))*10</f>
        <v>18.9667739969089</v>
      </c>
      <c r="H111" s="51" t="n">
        <f aca="false">SQRT(H108*100000/(0.9*pl_Fy*IF(H100=1,xu_Yp,xd_Yp)))*10</f>
        <v>0</v>
      </c>
      <c r="I111" s="51" t="n">
        <f aca="false">SQRT(I108*100000/(0.9*pl_Fy*IF(I100=1,xu_Yp,xd_Yp)))*10</f>
        <v>0</v>
      </c>
      <c r="J111" s="51" t="n">
        <f aca="false">SQRT(J108*100000/(0.9*pl_Fy*IF(J100=1,xu_Yp,xd_Yp)))*10</f>
        <v>0</v>
      </c>
      <c r="K111" s="51" t="n">
        <f aca="false">SQRT(K108*100000/(0.9*pl_Fy*IF(K100=1,xu_Yp,xd_Yp)))*10</f>
        <v>0</v>
      </c>
      <c r="L111" s="51" t="n">
        <f aca="false">SQRT(L108*100000/(0.9*pl_Fy*IF(L100=1,xu_Yp,xd_Yp)))*10</f>
        <v>0</v>
      </c>
      <c r="M111" s="51" t="n">
        <f aca="false">SQRT(M108*100000/(0.9*pl_Fy*IF(M100=1,xu_Yp,xd_Yp)))*10</f>
        <v>0</v>
      </c>
    </row>
    <row r="112" customFormat="false" ht="15" hidden="false" customHeight="false" outlineLevel="0" collapsed="false">
      <c r="A112" s="42" t="s">
        <v>245</v>
      </c>
      <c r="B112" s="42" t="s">
        <v>328</v>
      </c>
      <c r="C112" s="42" t="s">
        <v>178</v>
      </c>
      <c r="D112" s="50" t="n">
        <f aca="false">IF(D100=1,xu_E,xd_E)</f>
        <v>1</v>
      </c>
      <c r="E112" s="50" t="n">
        <f aca="false">IF(E100=1,xu_E,xd_E)</f>
        <v>1</v>
      </c>
      <c r="F112" s="50" t="n">
        <f aca="false">IF(F100=1,xu_E,xd_E)</f>
        <v>0</v>
      </c>
      <c r="G112" s="50" t="n">
        <f aca="false">IF(G100=1,xu_E,xd_E)</f>
        <v>1</v>
      </c>
      <c r="H112" s="50" t="n">
        <f aca="false">IF(H100=1,xu_E,xd_E)</f>
        <v>0</v>
      </c>
      <c r="I112" s="50" t="n">
        <f aca="false">IF(I100=1,xu_E,xd_E)</f>
        <v>0</v>
      </c>
      <c r="J112" s="50" t="n">
        <f aca="false">IF(J100=1,xu_E,xd_E)</f>
        <v>0</v>
      </c>
      <c r="K112" s="50" t="n">
        <f aca="false">IF(K100=1,xu_E,xd_E)</f>
        <v>0</v>
      </c>
      <c r="L112" s="50" t="n">
        <f aca="false">IF(L100=1,xu_E,xd_E)</f>
        <v>0</v>
      </c>
      <c r="M112" s="50" t="n">
        <f aca="false">IF(M100=1,xu_E,xd_E)</f>
        <v>0</v>
      </c>
    </row>
    <row r="113" customFormat="false" ht="15" hidden="false" customHeight="false" outlineLevel="0" collapsed="false">
      <c r="A113" s="42" t="s">
        <v>320</v>
      </c>
      <c r="B113" s="42" t="s">
        <v>329</v>
      </c>
      <c r="C113" s="42" t="s">
        <v>178</v>
      </c>
      <c r="D113" s="53" t="n">
        <f aca="false">IF(D112=1,D104/2/r_Rsy,0)</f>
        <v>0.129738484852066</v>
      </c>
      <c r="E113" s="53" t="n">
        <f aca="false">IF(E112=1,E104/2/r_Rsy,0)</f>
        <v>0.0649721633468883</v>
      </c>
      <c r="F113" s="53" t="n">
        <f aca="false">IF(F112=1,F104/2/r_Rsy,0)</f>
        <v>0</v>
      </c>
      <c r="G113" s="53" t="n">
        <f aca="false">IF(G112=1,G104/2/r_Rsy,0)</f>
        <v>0.105502574748052</v>
      </c>
      <c r="H113" s="53" t="n">
        <f aca="false">IF(H112=1,H104/2/r_Rsy,0)</f>
        <v>0</v>
      </c>
      <c r="I113" s="53" t="n">
        <f aca="false">IF(I112=1,I104/2/r_Rsy,0)</f>
        <v>0</v>
      </c>
      <c r="J113" s="53" t="n">
        <f aca="false">IF(J112=1,J104/2/r_Rsy,0)</f>
        <v>0</v>
      </c>
      <c r="K113" s="53" t="n">
        <f aca="false">IF(K112=1,K104/2/r_Rsy,0)</f>
        <v>0</v>
      </c>
      <c r="L113" s="53" t="n">
        <f aca="false">IF(L112=1,L104/2/r_Rsy,0)</f>
        <v>0</v>
      </c>
      <c r="M113" s="53" t="n">
        <f aca="false">IF(M112=1,M104/2/r_Rsy,0)</f>
        <v>0</v>
      </c>
    </row>
    <row r="114" customFormat="false" ht="15" hidden="false" customHeight="false" outlineLevel="0" collapsed="false">
      <c r="A114" s="42" t="s">
        <v>320</v>
      </c>
      <c r="B114" s="42" t="s">
        <v>330</v>
      </c>
      <c r="C114" s="42" t="s">
        <v>178</v>
      </c>
      <c r="D114" s="53" t="n">
        <f aca="false">IF(D112=1,D104/2/r_Rsr,0)</f>
        <v>0.178351949225927</v>
      </c>
      <c r="E114" s="53" t="n">
        <f aca="false">IF(E112=1,E104/2/r_Rsr,0)</f>
        <v>0.0893174603630986</v>
      </c>
      <c r="F114" s="53" t="n">
        <f aca="false">IF(F112=1,F104/2/r_Rsr,0)</f>
        <v>0</v>
      </c>
      <c r="G114" s="53" t="n">
        <f aca="false">IF(G112=1,G104/2/r_Rsr,0)</f>
        <v>0.145034758777434</v>
      </c>
      <c r="H114" s="53" t="n">
        <f aca="false">IF(H112=1,H104/2/r_Rsr,0)</f>
        <v>0</v>
      </c>
      <c r="I114" s="53" t="n">
        <f aca="false">IF(I112=1,I104/2/r_Rsr,0)</f>
        <v>0</v>
      </c>
      <c r="J114" s="53" t="n">
        <f aca="false">IF(J112=1,J104/2/r_Rsr,0)</f>
        <v>0</v>
      </c>
      <c r="K114" s="53" t="n">
        <f aca="false">IF(K112=1,K104/2/r_Rsr,0)</f>
        <v>0</v>
      </c>
      <c r="L114" s="53" t="n">
        <f aca="false">IF(L112=1,L104/2/r_Rsr,0)</f>
        <v>0</v>
      </c>
      <c r="M114" s="53" t="n">
        <f aca="false">IF(M112=1,M104/2/r_Rsr,0)</f>
        <v>0</v>
      </c>
    </row>
    <row r="115" customFormat="false" ht="15" hidden="false" customHeight="false" outlineLevel="0" collapsed="false">
      <c r="A115" s="42" t="s">
        <v>318</v>
      </c>
      <c r="B115" s="42" t="s">
        <v>331</v>
      </c>
      <c r="C115" s="42" t="s">
        <v>40</v>
      </c>
      <c r="D115" s="52" t="n">
        <f aca="false">IF(D100=1,xu_Rv,xd_Rv)/1000</f>
        <v>22.0955734238735</v>
      </c>
      <c r="E115" s="52" t="n">
        <f aca="false">IF(E100=1,xu_Rv,xd_Rv)/1000</f>
        <v>22.0955734238735</v>
      </c>
      <c r="F115" s="52" t="n">
        <f aca="false">IF(F100=1,xu_Rv,xd_Rv)/1000</f>
        <v>44.1911468477469</v>
      </c>
      <c r="G115" s="52" t="n">
        <f aca="false">IF(G100=1,xu_Rv,xd_Rv)/1000</f>
        <v>22.0955734238735</v>
      </c>
      <c r="H115" s="52" t="n">
        <f aca="false">IF(H100=1,xu_Rv,xd_Rv)/1000</f>
        <v>44.1911468477469</v>
      </c>
      <c r="I115" s="52" t="n">
        <f aca="false">IF(I100=1,xu_Rv,xd_Rv)/1000</f>
        <v>44.1911468477469</v>
      </c>
      <c r="J115" s="52" t="n">
        <f aca="false">IF(J100=1,xu_Rv,xd_Rv)/1000</f>
        <v>44.1911468477469</v>
      </c>
      <c r="K115" s="52" t="n">
        <f aca="false">IF(K100=1,xu_Rv,xd_Rv)/1000</f>
        <v>44.1911468477469</v>
      </c>
      <c r="L115" s="52" t="n">
        <f aca="false">IF(L100=1,xu_Rv,xd_Rv)/1000</f>
        <v>44.1911468477469</v>
      </c>
      <c r="M115" s="52" t="n">
        <f aca="false">IF(M100=1,xu_Rv,xd_Rv)/1000</f>
        <v>44.1911468477469</v>
      </c>
    </row>
    <row r="116" customFormat="false" ht="15" hidden="false" customHeight="false" outlineLevel="0" collapsed="false">
      <c r="A116" s="42" t="s">
        <v>320</v>
      </c>
      <c r="B116" s="42" t="s">
        <v>332</v>
      </c>
      <c r="C116" s="42" t="s">
        <v>178</v>
      </c>
      <c r="D116" s="53" t="n">
        <f aca="false">D102/1000/D115</f>
        <v>0.321143197740244</v>
      </c>
      <c r="E116" s="53" t="n">
        <f aca="false">E102/1000/E115</f>
        <v>0.171714189900914</v>
      </c>
      <c r="F116" s="53" t="n">
        <f aca="false">F102/1000/F115</f>
        <v>0.0682927280736198</v>
      </c>
      <c r="G116" s="53" t="n">
        <f aca="false">G102/1000/G115</f>
        <v>0.27264335474962</v>
      </c>
      <c r="H116" s="53" t="n">
        <f aca="false">H102/1000/H115</f>
        <v>0</v>
      </c>
      <c r="I116" s="53" t="n">
        <f aca="false">I102/1000/I115</f>
        <v>0</v>
      </c>
      <c r="J116" s="53" t="n">
        <f aca="false">J102/1000/J115</f>
        <v>0</v>
      </c>
      <c r="K116" s="53" t="n">
        <f aca="false">K102/1000/K115</f>
        <v>0</v>
      </c>
      <c r="L116" s="53" t="n">
        <f aca="false">L102/1000/L115</f>
        <v>0</v>
      </c>
      <c r="M116" s="53" t="n">
        <f aca="false">M102/1000/M115</f>
        <v>0</v>
      </c>
    </row>
    <row r="117" customFormat="false" ht="15" hidden="false" customHeight="false" outlineLevel="0" collapsed="false">
      <c r="A117" s="42" t="s">
        <v>318</v>
      </c>
      <c r="B117" s="42" t="s">
        <v>333</v>
      </c>
      <c r="C117" s="42" t="s">
        <v>40</v>
      </c>
      <c r="D117" s="52" t="n">
        <f aca="false">IF(D100=1,xu_Rbp,xd_Rbp)/1000</f>
        <v>91.411425</v>
      </c>
      <c r="E117" s="52" t="n">
        <f aca="false">IF(E100=1,xu_Rbp,xd_Rbp)/1000</f>
        <v>91.411425</v>
      </c>
      <c r="F117" s="52" t="n">
        <f aca="false">IF(F100=1,xu_Rbp,xd_Rbp)/1000</f>
        <v>115.54959375</v>
      </c>
      <c r="G117" s="52" t="n">
        <f aca="false">IF(G100=1,xu_Rbp,xd_Rbp)/1000</f>
        <v>91.411425</v>
      </c>
      <c r="H117" s="52" t="n">
        <f aca="false">IF(H100=1,xu_Rbp,xd_Rbp)/1000</f>
        <v>115.54959375</v>
      </c>
      <c r="I117" s="52" t="n">
        <f aca="false">IF(I100=1,xu_Rbp,xd_Rbp)/1000</f>
        <v>115.54959375</v>
      </c>
      <c r="J117" s="52" t="n">
        <f aca="false">IF(J100=1,xu_Rbp,xd_Rbp)/1000</f>
        <v>115.54959375</v>
      </c>
      <c r="K117" s="52" t="n">
        <f aca="false">IF(K100=1,xu_Rbp,xd_Rbp)/1000</f>
        <v>115.54959375</v>
      </c>
      <c r="L117" s="52" t="n">
        <f aca="false">IF(L100=1,xu_Rbp,xd_Rbp)/1000</f>
        <v>115.54959375</v>
      </c>
      <c r="M117" s="52" t="n">
        <f aca="false">IF(M100=1,xu_Rbp,xd_Rbp)/1000</f>
        <v>115.54959375</v>
      </c>
    </row>
    <row r="118" customFormat="false" ht="15" hidden="false" customHeight="false" outlineLevel="0" collapsed="false">
      <c r="A118" s="42" t="s">
        <v>320</v>
      </c>
      <c r="B118" s="42" t="s">
        <v>334</v>
      </c>
      <c r="C118" s="42" t="s">
        <v>178</v>
      </c>
      <c r="D118" s="53" t="n">
        <f aca="false">D102/1000/D117</f>
        <v>0.0776253417474574</v>
      </c>
      <c r="E118" s="53" t="n">
        <f aca="false">E102/1000/E117</f>
        <v>0.0415060096796061</v>
      </c>
      <c r="F118" s="53" t="n">
        <f aca="false">F102/1000/F117</f>
        <v>0.0261180838200444</v>
      </c>
      <c r="G118" s="53" t="n">
        <f aca="false">G102/1000/G117</f>
        <v>0.0659021699246172</v>
      </c>
      <c r="H118" s="53" t="n">
        <f aca="false">H102/1000/H117</f>
        <v>0</v>
      </c>
      <c r="I118" s="53" t="n">
        <f aca="false">I102/1000/I117</f>
        <v>0</v>
      </c>
      <c r="J118" s="53" t="n">
        <f aca="false">J102/1000/J117</f>
        <v>0</v>
      </c>
      <c r="K118" s="53" t="n">
        <f aca="false">K102/1000/K117</f>
        <v>0</v>
      </c>
      <c r="L118" s="53" t="n">
        <f aca="false">L102/1000/L117</f>
        <v>0</v>
      </c>
      <c r="M118" s="53" t="n">
        <f aca="false">M102/1000/M117</f>
        <v>0</v>
      </c>
    </row>
    <row r="119" customFormat="false" ht="15" hidden="false" customHeight="false" outlineLevel="0" collapsed="false">
      <c r="A119" s="42" t="s">
        <v>318</v>
      </c>
      <c r="B119" s="42" t="s">
        <v>335</v>
      </c>
      <c r="C119" s="42" t="s">
        <v>40</v>
      </c>
      <c r="D119" s="52" t="n">
        <f aca="false">IF(t_rod=1,IF(D100=1,xu_nbc,xd_nbc)*r_Rbc,IF(D100=1,xu_Rbp,xd_Rbp))/1000</f>
        <v>54.846855</v>
      </c>
      <c r="E119" s="52" t="n">
        <f aca="false">IF(t_rod=1,IF(E100=1,xu_nbc,xd_nbc)*r_Rbc,IF(E100=1,xu_Rbp,xd_Rbp))/1000</f>
        <v>54.846855</v>
      </c>
      <c r="F119" s="52" t="n">
        <f aca="false">IF(t_rod=1,IF(F100=1,xu_nbc,xd_nbc)*r_Rbc,IF(F100=1,xu_Rbp,xd_Rbp))/1000</f>
        <v>109.69371</v>
      </c>
      <c r="G119" s="52" t="n">
        <f aca="false">IF(t_rod=1,IF(G100=1,xu_nbc,xd_nbc)*r_Rbc,IF(G100=1,xu_Rbp,xd_Rbp))/1000</f>
        <v>54.846855</v>
      </c>
      <c r="H119" s="52" t="n">
        <f aca="false">IF(t_rod=1,IF(H100=1,xu_nbc,xd_nbc)*r_Rbc,IF(H100=1,xu_Rbp,xd_Rbp))/1000</f>
        <v>109.69371</v>
      </c>
      <c r="I119" s="52" t="n">
        <f aca="false">IF(t_rod=1,IF(I100=1,xu_nbc,xd_nbc)*r_Rbc,IF(I100=1,xu_Rbp,xd_Rbp))/1000</f>
        <v>109.69371</v>
      </c>
      <c r="J119" s="52" t="n">
        <f aca="false">IF(t_rod=1,IF(J100=1,xu_nbc,xd_nbc)*r_Rbc,IF(J100=1,xu_Rbp,xd_Rbp))/1000</f>
        <v>109.69371</v>
      </c>
      <c r="K119" s="52" t="n">
        <f aca="false">IF(t_rod=1,IF(K100=1,xu_nbc,xd_nbc)*r_Rbc,IF(K100=1,xu_Rbp,xd_Rbp))/1000</f>
        <v>109.69371</v>
      </c>
      <c r="L119" s="52" t="n">
        <f aca="false">IF(t_rod=1,IF(L100=1,xu_nbc,xd_nbc)*r_Rbc,IF(L100=1,xu_Rbp,xd_Rbp))/1000</f>
        <v>109.69371</v>
      </c>
      <c r="M119" s="52" t="n">
        <f aca="false">IF(t_rod=1,IF(M100=1,xu_nbc,xd_nbc)*r_Rbc,IF(M100=1,xu_Rbp,xd_Rbp))/1000</f>
        <v>109.69371</v>
      </c>
    </row>
    <row r="120" customFormat="false" ht="15" hidden="false" customHeight="false" outlineLevel="0" collapsed="false">
      <c r="A120" s="42" t="s">
        <v>320</v>
      </c>
      <c r="B120" s="42" t="s">
        <v>336</v>
      </c>
      <c r="C120" s="42" t="s">
        <v>178</v>
      </c>
      <c r="D120" s="53" t="n">
        <f aca="false">D102/1000/D119</f>
        <v>0.129375569579096</v>
      </c>
      <c r="E120" s="53" t="n">
        <f aca="false">E102/1000/E119</f>
        <v>0.0691766827993435</v>
      </c>
      <c r="F120" s="53" t="n">
        <f aca="false">F102/1000/F119</f>
        <v>0.0275123703531823</v>
      </c>
      <c r="G120" s="53" t="n">
        <f aca="false">G102/1000/G119</f>
        <v>0.109836949874362</v>
      </c>
      <c r="H120" s="53" t="n">
        <f aca="false">H102/1000/H119</f>
        <v>0</v>
      </c>
      <c r="I120" s="53" t="n">
        <f aca="false">I102/1000/I119</f>
        <v>0</v>
      </c>
      <c r="J120" s="53" t="n">
        <f aca="false">J102/1000/J119</f>
        <v>0</v>
      </c>
      <c r="K120" s="53" t="n">
        <f aca="false">K102/1000/K119</f>
        <v>0</v>
      </c>
      <c r="L120" s="53" t="n">
        <f aca="false">L102/1000/L119</f>
        <v>0</v>
      </c>
      <c r="M120" s="53" t="n">
        <f aca="false">M102/1000/M119</f>
        <v>0</v>
      </c>
    </row>
    <row r="121" customFormat="false" ht="15" hidden="false" customHeight="false" outlineLevel="0" collapsed="false">
      <c r="A121" s="42" t="s">
        <v>320</v>
      </c>
      <c r="B121" s="42" t="s">
        <v>41</v>
      </c>
      <c r="C121" s="42" t="s">
        <v>178</v>
      </c>
      <c r="D121" s="53" t="n">
        <f aca="false">D104/r_Rwf</f>
        <v>0.329195469781244</v>
      </c>
      <c r="E121" s="53" t="n">
        <f aca="false">E104/r_Rwf</f>
        <v>0.164858884085711</v>
      </c>
      <c r="F121" s="53" t="n">
        <f aca="false">F104/r_Rwf</f>
        <v>0.142788446304414</v>
      </c>
      <c r="G121" s="53" t="n">
        <f aca="false">G104/r_Rwf</f>
        <v>0.267699824742964</v>
      </c>
      <c r="H121" s="53" t="n">
        <f aca="false">H104/r_Rwf</f>
        <v>0</v>
      </c>
      <c r="I121" s="53" t="n">
        <f aca="false">I104/r_Rwf</f>
        <v>0</v>
      </c>
      <c r="J121" s="53" t="n">
        <f aca="false">J104/r_Rwf</f>
        <v>0</v>
      </c>
      <c r="K121" s="53" t="n">
        <f aca="false">K104/r_Rwf</f>
        <v>0</v>
      </c>
      <c r="L121" s="53" t="n">
        <f aca="false">L104/r_Rwf</f>
        <v>0</v>
      </c>
      <c r="M121" s="53" t="n">
        <f aca="false">M104/r_Rwf</f>
        <v>0</v>
      </c>
    </row>
    <row r="122" customFormat="false" ht="15" hidden="false" customHeight="false" outlineLevel="0" collapsed="false">
      <c r="A122" s="42" t="s">
        <v>320</v>
      </c>
      <c r="B122" s="42" t="s">
        <v>337</v>
      </c>
      <c r="C122" s="42" t="s">
        <v>178</v>
      </c>
      <c r="D122" s="53" t="n">
        <f aca="false">D99*r_wtD/r_wtC</f>
        <v>0.673673639140918</v>
      </c>
      <c r="E122" s="53" t="n">
        <f aca="false">E99*r_wtD/r_wtC</f>
        <v>0.673673639140918</v>
      </c>
      <c r="F122" s="53" t="n">
        <f aca="false">F99*r_wtD/r_wtC</f>
        <v>0.673673639140918</v>
      </c>
      <c r="G122" s="53" t="n">
        <f aca="false">G99*r_wtD/r_wtC</f>
        <v>0.673673639140918</v>
      </c>
      <c r="H122" s="53" t="n">
        <f aca="false">H99*r_wtD/r_wtC</f>
        <v>0</v>
      </c>
      <c r="I122" s="53" t="n">
        <f aca="false">I99*r_wtD/r_wtC</f>
        <v>0</v>
      </c>
      <c r="J122" s="53" t="n">
        <f aca="false">J99*r_wtD/r_wtC</f>
        <v>0</v>
      </c>
      <c r="K122" s="53" t="n">
        <f aca="false">K99*r_wtD/r_wtC</f>
        <v>0</v>
      </c>
      <c r="L122" s="53" t="n">
        <f aca="false">L99*r_wtD/r_wtC</f>
        <v>0</v>
      </c>
      <c r="M122" s="53" t="n">
        <f aca="false">M99*r_wtD/r_wtC</f>
        <v>0</v>
      </c>
    </row>
    <row r="123" customFormat="false" ht="15" hidden="false" customHeight="false" outlineLevel="0" collapsed="false">
      <c r="A123" s="42" t="s">
        <v>320</v>
      </c>
      <c r="B123" s="42" t="s">
        <v>338</v>
      </c>
      <c r="C123" s="42" t="s">
        <v>178</v>
      </c>
      <c r="D123" s="53" t="n">
        <f aca="false">D102/r_Rwv</f>
        <v>0.129176852726388</v>
      </c>
      <c r="E123" s="53" t="n">
        <f aca="false">E102/r_Rwv</f>
        <v>0.0690704295652025</v>
      </c>
      <c r="F123" s="53" t="n">
        <f aca="false">F102/r_Rwv</f>
        <v>0.0549402244153077</v>
      </c>
      <c r="G123" s="53" t="n">
        <f aca="false">G102/r_Rwv</f>
        <v>0.109668243734084</v>
      </c>
      <c r="H123" s="53" t="n">
        <f aca="false">H102/r_Rwv</f>
        <v>0</v>
      </c>
      <c r="I123" s="53" t="n">
        <f aca="false">I102/r_Rwv</f>
        <v>0</v>
      </c>
      <c r="J123" s="53" t="n">
        <f aca="false">J102/r_Rwv</f>
        <v>0</v>
      </c>
      <c r="K123" s="53" t="n">
        <f aca="false">K102/r_Rwv</f>
        <v>0</v>
      </c>
      <c r="L123" s="53" t="n">
        <f aca="false">L102/r_Rwv</f>
        <v>0</v>
      </c>
      <c r="M123" s="53" t="n">
        <f aca="false">M102/r_Rwv</f>
        <v>0</v>
      </c>
    </row>
    <row r="124" customFormat="false" ht="15" hidden="false" customHeight="false" outlineLevel="0" collapsed="false">
      <c r="A124" s="42" t="s">
        <v>322</v>
      </c>
      <c r="B124" s="42" t="s">
        <v>339</v>
      </c>
      <c r="C124" s="42"/>
      <c r="D124" s="52" t="n">
        <f aca="false">IF(D112=1,1.11*IF(D100=1,xu_Mnp,xd_Mnp)*D99/100000,D104/1000)</f>
        <v>48.8101330797912</v>
      </c>
      <c r="E124" s="52" t="n">
        <f aca="false">IF(E112=1,1.11*IF(E100=1,xu_Mnp,xd_Mnp)*E99/100000,E104/1000)</f>
        <v>48.8101330797912</v>
      </c>
      <c r="F124" s="52" t="n">
        <f aca="false">IF(F112=1,1.11*IF(F100=1,xu_Mnp,xd_Mnp)*F99/100000,F104/1000)</f>
        <v>11.8681935263829</v>
      </c>
      <c r="G124" s="52" t="n">
        <f aca="false">IF(G112=1,1.11*IF(G100=1,xu_Mnp,xd_Mnp)*G99/100000,G104/1000)</f>
        <v>48.8101330797912</v>
      </c>
      <c r="H124" s="52" t="n">
        <f aca="false">IF(H112=1,1.11*IF(H100=1,xu_Mnp,xd_Mnp)*H99/100000,H104/1000)</f>
        <v>0</v>
      </c>
      <c r="I124" s="52" t="n">
        <f aca="false">IF(I112=1,1.11*IF(I100=1,xu_Mnp,xd_Mnp)*I99/100000,I104/1000)</f>
        <v>0</v>
      </c>
      <c r="J124" s="52" t="n">
        <f aca="false">IF(J112=1,1.11*IF(J100=1,xu_Mnp,xd_Mnp)*J99/100000,J104/1000)</f>
        <v>0</v>
      </c>
      <c r="K124" s="52" t="n">
        <f aca="false">IF(K112=1,1.11*IF(K100=1,xu_Mnp,xd_Mnp)*K99/100000,K104/1000)</f>
        <v>0</v>
      </c>
      <c r="L124" s="52" t="n">
        <f aca="false">IF(L112=1,1.11*IF(L100=1,xu_Mnp,xd_Mnp)*L99/100000,L104/1000)</f>
        <v>0</v>
      </c>
      <c r="M124" s="52" t="n">
        <f aca="false">IF(M112=1,1.11*IF(M100=1,xu_Mnp,xd_Mnp)*M99/100000,M104/1000)</f>
        <v>0</v>
      </c>
    </row>
    <row r="125" customFormat="false" ht="15" hidden="false" customHeight="false" outlineLevel="0" collapsed="false">
      <c r="A125" s="42" t="s">
        <v>318</v>
      </c>
      <c r="B125" s="42" t="s">
        <v>340</v>
      </c>
      <c r="C125" s="42"/>
      <c r="D125" s="52" t="n">
        <f aca="false">IF(D112=1,IF(D100=1,xu_Mcf,xd_Mcf)/100000,IF(D100=1,xu_Rfb,xd_Rfb)/1000)</f>
        <v>54.5791796881487</v>
      </c>
      <c r="E125" s="52" t="n">
        <f aca="false">IF(E112=1,IF(E100=1,xu_Mcf,xd_Mcf)/100000,IF(E100=1,xu_Rfb,xd_Rfb)/1000)</f>
        <v>54.5791796881487</v>
      </c>
      <c r="F125" s="52" t="n">
        <f aca="false">IF(F112=1,IF(F100=1,xu_Mcf,xd_Mcf)/100000,IF(F100=1,xu_Rfb,xd_Rfb)/1000)</f>
        <v>44.48671875</v>
      </c>
      <c r="G125" s="52" t="n">
        <f aca="false">IF(G112=1,IF(G100=1,xu_Mcf,xd_Mcf)/100000,IF(G100=1,xu_Rfb,xd_Rfb)/1000)</f>
        <v>54.5791796881487</v>
      </c>
      <c r="H125" s="52" t="n">
        <f aca="false">IF(H112=1,IF(H100=1,xu_Mcf,xd_Mcf)/100000,IF(H100=1,xu_Rfb,xd_Rfb)/1000)</f>
        <v>44.48671875</v>
      </c>
      <c r="I125" s="52" t="n">
        <f aca="false">IF(I112=1,IF(I100=1,xu_Mcf,xd_Mcf)/100000,IF(I100=1,xu_Rfb,xd_Rfb)/1000)</f>
        <v>44.48671875</v>
      </c>
      <c r="J125" s="52" t="n">
        <f aca="false">IF(J112=1,IF(J100=1,xu_Mcf,xd_Mcf)/100000,IF(J100=1,xu_Rfb,xd_Rfb)/1000)</f>
        <v>44.48671875</v>
      </c>
      <c r="K125" s="52" t="n">
        <f aca="false">IF(K112=1,IF(K100=1,xu_Mcf,xd_Mcf)/100000,IF(K100=1,xu_Rfb,xd_Rfb)/1000)</f>
        <v>44.48671875</v>
      </c>
      <c r="L125" s="52" t="n">
        <f aca="false">IF(L112=1,IF(L100=1,xu_Mcf,xd_Mcf)/100000,IF(L100=1,xu_Rfb,xd_Rfb)/1000)</f>
        <v>44.48671875</v>
      </c>
      <c r="M125" s="52" t="n">
        <f aca="false">IF(M112=1,IF(M100=1,xu_Mcf,xd_Mcf)/100000,IF(M100=1,xu_Rfb,xd_Rfb)/1000)</f>
        <v>44.48671875</v>
      </c>
    </row>
    <row r="126" customFormat="false" ht="15" hidden="false" customHeight="false" outlineLevel="0" collapsed="false">
      <c r="A126" s="42" t="s">
        <v>320</v>
      </c>
      <c r="B126" s="42" t="s">
        <v>341</v>
      </c>
      <c r="C126" s="42" t="s">
        <v>178</v>
      </c>
      <c r="D126" s="53" t="n">
        <f aca="false">IF(t_rod=0,0,IF(AND(D112=0,cp_usar="Sí"),0,D124/D125))</f>
        <v>0.89429949952857</v>
      </c>
      <c r="E126" s="53" t="n">
        <f aca="false">IF(t_rod=0,0,IF(AND(E112=0,cp_usar="Sí"),0,E124/E125))</f>
        <v>0.89429949952857</v>
      </c>
      <c r="F126" s="53" t="n">
        <f aca="false">IF(t_rod=0,0,IF(AND(F112=0,cp_usar="Sí"),0,F124/F125))</f>
        <v>0</v>
      </c>
      <c r="G126" s="53" t="n">
        <f aca="false">IF(t_rod=0,0,IF(AND(G112=0,cp_usar="Sí"),0,G124/G125))</f>
        <v>0.89429949952857</v>
      </c>
      <c r="H126" s="53" t="n">
        <f aca="false">IF(t_rod=0,0,IF(AND(H112=0,cp_usar="Sí"),0,H124/H125))</f>
        <v>0</v>
      </c>
      <c r="I126" s="53" t="n">
        <f aca="false">IF(t_rod=0,0,IF(AND(I112=0,cp_usar="Sí"),0,I124/I125))</f>
        <v>0</v>
      </c>
      <c r="J126" s="53" t="n">
        <f aca="false">IF(t_rod=0,0,IF(AND(J112=0,cp_usar="Sí"),0,J124/J125))</f>
        <v>0</v>
      </c>
      <c r="K126" s="53" t="n">
        <f aca="false">IF(t_rod=0,0,IF(AND(K112=0,cp_usar="Sí"),0,K124/K125))</f>
        <v>0</v>
      </c>
      <c r="L126" s="53" t="n">
        <f aca="false">IF(t_rod=0,0,IF(AND(L112=0,cp_usar="Sí"),0,L124/L125))</f>
        <v>0</v>
      </c>
      <c r="M126" s="53" t="n">
        <f aca="false">IF(t_rod=0,0,IF(AND(M112=0,cp_usar="Sí"),0,M124/M125))</f>
        <v>0</v>
      </c>
    </row>
    <row r="127" customFormat="false" ht="15" hidden="false" customHeight="false" outlineLevel="0" collapsed="false">
      <c r="A127" s="42" t="s">
        <v>318</v>
      </c>
      <c r="B127" s="42" t="s">
        <v>342</v>
      </c>
      <c r="C127" s="42" t="s">
        <v>40</v>
      </c>
      <c r="D127" s="52" t="n">
        <f aca="false">IF(D100=1,xu_Rwy,xd_Rwy)/1000</f>
        <v>40.3118194489341</v>
      </c>
      <c r="E127" s="52" t="n">
        <f aca="false">IF(E100=1,xu_Rwy,xd_Rwy)/1000</f>
        <v>40.3118194489341</v>
      </c>
      <c r="F127" s="52" t="n">
        <f aca="false">IF(F100=1,xu_Rwy,xd_Rwy)/1000</f>
        <v>58.7655694489341</v>
      </c>
      <c r="G127" s="52" t="n">
        <f aca="false">IF(G100=1,xu_Rwy,xd_Rwy)/1000</f>
        <v>40.3118194489341</v>
      </c>
      <c r="H127" s="52" t="n">
        <f aca="false">IF(H100=1,xu_Rwy,xd_Rwy)/1000</f>
        <v>58.7655694489341</v>
      </c>
      <c r="I127" s="52" t="n">
        <f aca="false">IF(I100=1,xu_Rwy,xd_Rwy)/1000</f>
        <v>58.7655694489341</v>
      </c>
      <c r="J127" s="52" t="n">
        <f aca="false">IF(J100=1,xu_Rwy,xd_Rwy)/1000</f>
        <v>58.7655694489341</v>
      </c>
      <c r="K127" s="52" t="n">
        <f aca="false">IF(K100=1,xu_Rwy,xd_Rwy)/1000</f>
        <v>58.7655694489341</v>
      </c>
      <c r="L127" s="52" t="n">
        <f aca="false">IF(L100=1,xu_Rwy,xd_Rwy)/1000</f>
        <v>58.7655694489341</v>
      </c>
      <c r="M127" s="52" t="n">
        <f aca="false">IF(M100=1,xu_Rwy,xd_Rwy)/1000</f>
        <v>58.7655694489341</v>
      </c>
    </row>
    <row r="128" customFormat="false" ht="15" hidden="false" customHeight="false" outlineLevel="0" collapsed="false">
      <c r="A128" s="42" t="s">
        <v>318</v>
      </c>
      <c r="B128" s="42" t="s">
        <v>343</v>
      </c>
      <c r="C128" s="42" t="s">
        <v>40</v>
      </c>
      <c r="D128" s="52" t="n">
        <f aca="false">IF(D100=1,xu_Rwc,xd_Rwc)/1000</f>
        <v>78.9289200283381</v>
      </c>
      <c r="E128" s="52" t="n">
        <f aca="false">IF(E100=1,xu_Rwc,xd_Rwc)/1000</f>
        <v>78.9289200283381</v>
      </c>
      <c r="F128" s="52" t="n">
        <f aca="false">IF(F100=1,xu_Rwc,xd_Rwc)/1000</f>
        <v>39.464460014169</v>
      </c>
      <c r="G128" s="52" t="n">
        <f aca="false">IF(G100=1,xu_Rwc,xd_Rwc)/1000</f>
        <v>78.9289200283381</v>
      </c>
      <c r="H128" s="52" t="n">
        <f aca="false">IF(H100=1,xu_Rwc,xd_Rwc)/1000</f>
        <v>39.464460014169</v>
      </c>
      <c r="I128" s="52" t="n">
        <f aca="false">IF(I100=1,xu_Rwc,xd_Rwc)/1000</f>
        <v>39.464460014169</v>
      </c>
      <c r="J128" s="52" t="n">
        <f aca="false">IF(J100=1,xu_Rwc,xd_Rwc)/1000</f>
        <v>39.464460014169</v>
      </c>
      <c r="K128" s="52" t="n">
        <f aca="false">IF(K100=1,xu_Rwc,xd_Rwc)/1000</f>
        <v>39.464460014169</v>
      </c>
      <c r="L128" s="52" t="n">
        <f aca="false">IF(L100=1,xu_Rwc,xd_Rwc)/1000</f>
        <v>39.464460014169</v>
      </c>
      <c r="M128" s="52" t="n">
        <f aca="false">IF(M100=1,xu_Rwc,xd_Rwc)/1000</f>
        <v>39.464460014169</v>
      </c>
    </row>
    <row r="129" customFormat="false" ht="15" hidden="false" customHeight="false" outlineLevel="0" collapsed="false">
      <c r="A129" s="42" t="s">
        <v>320</v>
      </c>
      <c r="B129" s="42" t="s">
        <v>344</v>
      </c>
      <c r="C129" s="42" t="s">
        <v>178</v>
      </c>
      <c r="D129" s="53" t="n">
        <f aca="false">IF(OR(t_rod=0,cp_usar="Sí"),0,D104/IF(D100=1,xu_Rwy,xd_Rwy))</f>
        <v>0</v>
      </c>
      <c r="E129" s="53" t="n">
        <f aca="false">IF(OR(t_rod=0,cp_usar="Sí"),0,E104/IF(E100=1,xu_Rwy,xd_Rwy))</f>
        <v>0</v>
      </c>
      <c r="F129" s="53" t="n">
        <f aca="false">IF(OR(t_rod=0,cp_usar="Sí"),0,F104/IF(F100=1,xu_Rwy,xd_Rwy))</f>
        <v>0</v>
      </c>
      <c r="G129" s="53" t="n">
        <f aca="false">IF(OR(t_rod=0,cp_usar="Sí"),0,G104/IF(G100=1,xu_Rwy,xd_Rwy))</f>
        <v>0</v>
      </c>
      <c r="H129" s="53" t="n">
        <f aca="false">IF(OR(t_rod=0,cp_usar="Sí"),0,H104/IF(H100=1,xu_Rwy,xd_Rwy))</f>
        <v>0</v>
      </c>
      <c r="I129" s="53" t="n">
        <f aca="false">IF(OR(t_rod=0,cp_usar="Sí"),0,I104/IF(I100=1,xu_Rwy,xd_Rwy))</f>
        <v>0</v>
      </c>
      <c r="J129" s="53" t="n">
        <f aca="false">IF(OR(t_rod=0,cp_usar="Sí"),0,J104/IF(J100=1,xu_Rwy,xd_Rwy))</f>
        <v>0</v>
      </c>
      <c r="K129" s="53" t="n">
        <f aca="false">IF(OR(t_rod=0,cp_usar="Sí"),0,K104/IF(K100=1,xu_Rwy,xd_Rwy))</f>
        <v>0</v>
      </c>
      <c r="L129" s="53" t="n">
        <f aca="false">IF(OR(t_rod=0,cp_usar="Sí"),0,L104/IF(L100=1,xu_Rwy,xd_Rwy))</f>
        <v>0</v>
      </c>
      <c r="M129" s="53" t="n">
        <f aca="false">IF(OR(t_rod=0,cp_usar="Sí"),0,M104/IF(M100=1,xu_Rwy,xd_Rwy))</f>
        <v>0</v>
      </c>
    </row>
    <row r="130" customFormat="false" ht="15" hidden="false" customHeight="false" outlineLevel="0" collapsed="false">
      <c r="A130" s="42" t="s">
        <v>320</v>
      </c>
      <c r="B130" s="42" t="s">
        <v>345</v>
      </c>
      <c r="C130" s="42" t="s">
        <v>178</v>
      </c>
      <c r="D130" s="53" t="n">
        <f aca="false">IF(OR(t_rod=0,cp_usar="Sí"),0,D104/IF(D100=1,xu_Rwc,xd_Rwc))</f>
        <v>0</v>
      </c>
      <c r="E130" s="53" t="n">
        <f aca="false">IF(OR(t_rod=0,cp_usar="Sí"),0,E104/IF(E100=1,xu_Rwc,xd_Rwc))</f>
        <v>0</v>
      </c>
      <c r="F130" s="53" t="n">
        <f aca="false">IF(OR(t_rod=0,cp_usar="Sí"),0,F104/IF(F100=1,xu_Rwc,xd_Rwc))</f>
        <v>0</v>
      </c>
      <c r="G130" s="53" t="n">
        <f aca="false">IF(OR(t_rod=0,cp_usar="Sí"),0,G104/IF(G100=1,xu_Rwc,xd_Rwc))</f>
        <v>0</v>
      </c>
      <c r="H130" s="53" t="n">
        <f aca="false">IF(OR(t_rod=0,cp_usar="Sí"),0,H104/IF(H100=1,xu_Rwc,xd_Rwc))</f>
        <v>0</v>
      </c>
      <c r="I130" s="53" t="n">
        <f aca="false">IF(OR(t_rod=0,cp_usar="Sí"),0,I104/IF(I100=1,xu_Rwc,xd_Rwc))</f>
        <v>0</v>
      </c>
      <c r="J130" s="53" t="n">
        <f aca="false">IF(OR(t_rod=0,cp_usar="Sí"),0,J104/IF(J100=1,xu_Rwc,xd_Rwc))</f>
        <v>0</v>
      </c>
      <c r="K130" s="53" t="n">
        <f aca="false">IF(OR(t_rod=0,cp_usar="Sí"),0,K104/IF(K100=1,xu_Rwc,xd_Rwc))</f>
        <v>0</v>
      </c>
      <c r="L130" s="53" t="n">
        <f aca="false">IF(OR(t_rod=0,cp_usar="Sí"),0,L104/IF(L100=1,xu_Rwc,xd_Rwc))</f>
        <v>0</v>
      </c>
      <c r="M130" s="53" t="n">
        <f aca="false">IF(OR(t_rod=0,cp_usar="Sí"),0,M104/IF(M100=1,xu_Rwc,xd_Rwc))</f>
        <v>0</v>
      </c>
    </row>
    <row r="131" customFormat="false" ht="15" hidden="false" customHeight="false" outlineLevel="0" collapsed="false">
      <c r="A131" s="42" t="s">
        <v>346</v>
      </c>
      <c r="B131" s="42" t="s">
        <v>347</v>
      </c>
      <c r="C131" s="42" t="s">
        <v>242</v>
      </c>
      <c r="D131" s="50" t="n">
        <f aca="false">MAX(0,D104-MIN(IF(D100=1,xu_Rcfe,xd_Rcfe),IF(D100=1,xu_Rwy,xd_Rwy),IF(D100=1,xu_Rwc,xd_Rwc)))</f>
        <v>0</v>
      </c>
      <c r="E131" s="50" t="n">
        <f aca="false">MAX(0,E104-MIN(IF(E100=1,xu_Rcfe,xd_Rcfe),IF(E100=1,xu_Rwy,xd_Rwy),IF(E100=1,xu_Rwc,xd_Rwc)))</f>
        <v>0</v>
      </c>
      <c r="F131" s="50" t="n">
        <f aca="false">MAX(0,F104-MIN(IF(F100=1,xu_Rcfe,xd_Rcfe),IF(F100=1,xu_Rwy,xd_Rwy),IF(F100=1,xu_Rwc,xd_Rwc)))</f>
        <v>0</v>
      </c>
      <c r="G131" s="50" t="n">
        <f aca="false">MAX(0,G104-MIN(IF(G100=1,xu_Rcfe,xd_Rcfe),IF(G100=1,xu_Rwy,xd_Rwy),IF(G100=1,xu_Rwc,xd_Rwc)))</f>
        <v>0</v>
      </c>
      <c r="H131" s="50" t="n">
        <f aca="false">MAX(0,H104-MIN(IF(H100=1,xu_Rcfe,xd_Rcfe),IF(H100=1,xu_Rwy,xd_Rwy),IF(H100=1,xu_Rwc,xd_Rwc)))</f>
        <v>0</v>
      </c>
      <c r="I131" s="50" t="n">
        <f aca="false">MAX(0,I104-MIN(IF(I100=1,xu_Rcfe,xd_Rcfe),IF(I100=1,xu_Rwy,xd_Rwy),IF(I100=1,xu_Rwc,xd_Rwc)))</f>
        <v>0</v>
      </c>
      <c r="J131" s="50" t="n">
        <f aca="false">MAX(0,J104-MIN(IF(J100=1,xu_Rcfe,xd_Rcfe),IF(J100=1,xu_Rwy,xd_Rwy),IF(J100=1,xu_Rwc,xd_Rwc)))</f>
        <v>0</v>
      </c>
      <c r="K131" s="50" t="n">
        <f aca="false">MAX(0,K104-MIN(IF(K100=1,xu_Rcfe,xd_Rcfe),IF(K100=1,xu_Rwy,xd_Rwy),IF(K100=1,xu_Rwc,xd_Rwc)))</f>
        <v>0</v>
      </c>
      <c r="L131" s="50" t="n">
        <f aca="false">MAX(0,L104-MIN(IF(L100=1,xu_Rcfe,xd_Rcfe),IF(L100=1,xu_Rwy,xd_Rwy),IF(L100=1,xu_Rwc,xd_Rwc)))</f>
        <v>0</v>
      </c>
      <c r="M131" s="50" t="n">
        <f aca="false">MAX(0,M104-MIN(IF(M100=1,xu_Rcfe,xd_Rcfe),IF(M100=1,xu_Rwy,xd_Rwy),IF(M100=1,xu_Rwc,xd_Rwc)))</f>
        <v>0</v>
      </c>
    </row>
    <row r="132" customFormat="false" ht="15" hidden="false" customHeight="false" outlineLevel="0" collapsed="false">
      <c r="A132" s="42" t="s">
        <v>320</v>
      </c>
      <c r="B132" s="42" t="s">
        <v>94</v>
      </c>
      <c r="C132" s="42" t="s">
        <v>178</v>
      </c>
      <c r="D132" s="53" t="n">
        <f aca="false">IF(AND(t_rod=1,cp_usar="Sí"),D131/r_Rcp,0)</f>
        <v>0</v>
      </c>
      <c r="E132" s="53" t="n">
        <f aca="false">IF(AND(t_rod=1,cp_usar="Sí"),E131/r_Rcp,0)</f>
        <v>0</v>
      </c>
      <c r="F132" s="53" t="n">
        <f aca="false">IF(AND(t_rod=1,cp_usar="Sí"),F131/r_Rcp,0)</f>
        <v>0</v>
      </c>
      <c r="G132" s="53" t="n">
        <f aca="false">IF(AND(t_rod=1,cp_usar="Sí"),G131/r_Rcp,0)</f>
        <v>0</v>
      </c>
      <c r="H132" s="53" t="n">
        <f aca="false">IF(AND(t_rod=1,cp_usar="Sí"),H131/r_Rcp,0)</f>
        <v>0</v>
      </c>
      <c r="I132" s="53" t="n">
        <f aca="false">IF(AND(t_rod=1,cp_usar="Sí"),I131/r_Rcp,0)</f>
        <v>0</v>
      </c>
      <c r="J132" s="53" t="n">
        <f aca="false">IF(AND(t_rod=1,cp_usar="Sí"),J131/r_Rcp,0)</f>
        <v>0</v>
      </c>
      <c r="K132" s="53" t="n">
        <f aca="false">IF(AND(t_rod=1,cp_usar="Sí"),K131/r_Rcp,0)</f>
        <v>0</v>
      </c>
      <c r="L132" s="53" t="n">
        <f aca="false">IF(AND(t_rod=1,cp_usar="Sí"),L131/r_Rcp,0)</f>
        <v>0</v>
      </c>
      <c r="M132" s="53" t="n">
        <f aca="false">IF(AND(t_rod=1,cp_usar="Sí"),M131/r_Rcp,0)</f>
        <v>0</v>
      </c>
    </row>
    <row r="133" customFormat="false" ht="15" hidden="false" customHeight="false" outlineLevel="0" collapsed="false">
      <c r="A133" s="42" t="s">
        <v>320</v>
      </c>
      <c r="B133" s="42" t="s">
        <v>348</v>
      </c>
      <c r="C133" s="42" t="s">
        <v>178</v>
      </c>
      <c r="D133" s="53" t="n">
        <f aca="false">IF(t_rod=1,D104/r_Rpz,0)</f>
        <v>0.288307744115702</v>
      </c>
      <c r="E133" s="53" t="n">
        <f aca="false">IF(t_rod=1,E104/r_Rpz,0)</f>
        <v>0.144382585215307</v>
      </c>
      <c r="F133" s="53" t="n">
        <f aca="false">IF(t_rod=1,F104/r_Rpz,0)</f>
        <v>0.125053406315609</v>
      </c>
      <c r="G133" s="53" t="n">
        <f aca="false">IF(t_rod=1,G104/r_Rpz,0)</f>
        <v>0.234450166106782</v>
      </c>
      <c r="H133" s="53" t="n">
        <f aca="false">IF(t_rod=1,H104/r_Rpz,0)</f>
        <v>0</v>
      </c>
      <c r="I133" s="53" t="n">
        <f aca="false">IF(t_rod=1,I104/r_Rpz,0)</f>
        <v>0</v>
      </c>
      <c r="J133" s="53" t="n">
        <f aca="false">IF(t_rod=1,J104/r_Rpz,0)</f>
        <v>0</v>
      </c>
      <c r="K133" s="53" t="n">
        <f aca="false">IF(t_rod=1,K104/r_Rpz,0)</f>
        <v>0</v>
      </c>
      <c r="L133" s="53" t="n">
        <f aca="false">IF(t_rod=1,L104/r_Rpz,0)</f>
        <v>0</v>
      </c>
      <c r="M133" s="53" t="n">
        <f aca="false">IF(t_rod=1,M104/r_Rpz,0)</f>
        <v>0</v>
      </c>
    </row>
    <row r="134" customFormat="false" ht="15" hidden="false" customHeight="false" outlineLevel="0" collapsed="false">
      <c r="A134" s="42" t="s">
        <v>349</v>
      </c>
      <c r="B134" s="42" t="s">
        <v>149</v>
      </c>
      <c r="C134" s="42" t="s">
        <v>178</v>
      </c>
      <c r="D134" s="53" t="n">
        <f aca="false">MAX(D107,D110,D113,D114,D116,D118,D120,D121,D122,D123,D126,D129,D130,D132,D133)</f>
        <v>0.89429949952857</v>
      </c>
      <c r="E134" s="53" t="n">
        <f aca="false">MAX(E107,E110,E113,E114,E116,E118,E120,E121,E122,E123,E126,E129,E130,E132,E133)</f>
        <v>0.89429949952857</v>
      </c>
      <c r="F134" s="53" t="n">
        <f aca="false">MAX(F107,F110,F113,F114,F116,F118,F120,F121,F122,F123,F126,F129,F130,F132,F133)</f>
        <v>0.673673639140918</v>
      </c>
      <c r="G134" s="53" t="n">
        <f aca="false">MAX(G107,G110,G113,G114,G116,G118,G120,G121,G122,G123,G126,G129,G130,G132,G133)</f>
        <v>0.89429949952857</v>
      </c>
      <c r="H134" s="53" t="n">
        <f aca="false">MAX(H107,H110,H113,H114,H116,H118,H120,H121,H122,H123,H126,H129,H130,H132,H133)</f>
        <v>0</v>
      </c>
      <c r="I134" s="53" t="n">
        <f aca="false">MAX(I107,I110,I113,I114,I116,I118,I120,I121,I122,I123,I126,I129,I130,I132,I133)</f>
        <v>0</v>
      </c>
      <c r="J134" s="53" t="n">
        <f aca="false">MAX(J107,J110,J113,J114,J116,J118,J120,J121,J122,J123,J126,J129,J130,J132,J133)</f>
        <v>0</v>
      </c>
      <c r="K134" s="53" t="n">
        <f aca="false">MAX(K107,K110,K113,K114,K116,K118,K120,K121,K122,K123,K126,K129,K130,K132,K133)</f>
        <v>0</v>
      </c>
      <c r="L134" s="53" t="n">
        <f aca="false">MAX(L107,L110,L113,L114,L116,L118,L120,L121,L122,L123,L126,L129,L130,L132,L133)</f>
        <v>0</v>
      </c>
      <c r="M134" s="53" t="n">
        <f aca="false">MAX(M107,M110,M113,M114,M116,M118,M120,M121,M122,M123,M126,M129,M130,M132,M133)</f>
        <v>0</v>
      </c>
    </row>
  </sheetData>
  <mergeCells count="5">
    <mergeCell ref="A4:M4"/>
    <mergeCell ref="A41:M41"/>
    <mergeCell ref="A61:M61"/>
    <mergeCell ref="A81:M81"/>
    <mergeCell ref="A93:M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7" style="0" width="24"/>
    <col collapsed="false" customWidth="true" hidden="false" outlineLevel="0" max="13" min="13" style="0" width="12"/>
    <col collapsed="false" customWidth="true" hidden="false" outlineLevel="0" max="17" min="17" style="0" width="22"/>
    <col collapsed="false" customWidth="true" hidden="false" outlineLevel="0" max="21" min="21" style="0" width="8"/>
    <col collapsed="false" customWidth="true" hidden="false" outlineLevel="0" max="25" min="25" style="0" width="12"/>
    <col collapsed="false" customWidth="true" hidden="false" outlineLevel="0" max="28" min="28" style="0" width="8"/>
    <col collapsed="false" customWidth="true" hidden="false" outlineLevel="0" max="30" min="30" style="0" width="32"/>
    <col collapsed="false" customWidth="true" hidden="false" outlineLevel="0" max="32" min="32" style="0" width="28"/>
    <col collapsed="false" customWidth="true" hidden="false" outlineLevel="0" max="34" min="34" style="0" width="20"/>
    <col collapsed="false" customWidth="true" hidden="false" outlineLevel="0" max="36" min="36" style="0" width="6"/>
  </cols>
  <sheetData>
    <row r="1" customFormat="false" ht="15" hidden="false" customHeight="false" outlineLevel="0" collapsed="false">
      <c r="A1" s="54" t="s">
        <v>350</v>
      </c>
    </row>
    <row r="3" customFormat="false" ht="15" hidden="false" customHeight="false" outlineLevel="0" collapsed="false">
      <c r="A3" s="55" t="s">
        <v>351</v>
      </c>
      <c r="G3" s="55" t="s">
        <v>352</v>
      </c>
      <c r="M3" s="55" t="s">
        <v>353</v>
      </c>
      <c r="Q3" s="55" t="s">
        <v>354</v>
      </c>
      <c r="U3" s="55" t="s">
        <v>355</v>
      </c>
      <c r="Y3" s="55" t="s">
        <v>169</v>
      </c>
      <c r="AB3" s="55" t="s">
        <v>356</v>
      </c>
      <c r="AD3" s="55" t="s">
        <v>357</v>
      </c>
      <c r="AF3" s="55" t="s">
        <v>358</v>
      </c>
      <c r="AH3" s="55" t="s">
        <v>359</v>
      </c>
      <c r="AJ3" s="55" t="s">
        <v>360</v>
      </c>
    </row>
    <row r="4" customFormat="false" ht="15" hidden="false" customHeight="false" outlineLevel="0" collapsed="false">
      <c r="A4" s="56" t="s">
        <v>361</v>
      </c>
      <c r="B4" s="56" t="s">
        <v>184</v>
      </c>
      <c r="C4" s="56" t="s">
        <v>186</v>
      </c>
      <c r="D4" s="56" t="s">
        <v>188</v>
      </c>
      <c r="E4" s="56" t="s">
        <v>190</v>
      </c>
      <c r="G4" s="56" t="s">
        <v>197</v>
      </c>
      <c r="H4" s="56" t="s">
        <v>184</v>
      </c>
      <c r="I4" s="56" t="s">
        <v>186</v>
      </c>
      <c r="J4" s="56" t="s">
        <v>188</v>
      </c>
      <c r="K4" s="56" t="s">
        <v>190</v>
      </c>
      <c r="M4" s="56" t="s">
        <v>65</v>
      </c>
      <c r="N4" s="56" t="s">
        <v>362</v>
      </c>
      <c r="O4" s="56" t="s">
        <v>363</v>
      </c>
      <c r="Q4" s="56" t="s">
        <v>161</v>
      </c>
      <c r="R4" s="56" t="s">
        <v>364</v>
      </c>
      <c r="S4" s="56" t="s">
        <v>365</v>
      </c>
      <c r="U4" s="56" t="s">
        <v>366</v>
      </c>
      <c r="V4" s="56" t="s">
        <v>367</v>
      </c>
      <c r="W4" s="56" t="s">
        <v>368</v>
      </c>
      <c r="Y4" s="56" t="s">
        <v>169</v>
      </c>
      <c r="Z4" s="56" t="s">
        <v>243</v>
      </c>
      <c r="AB4" s="56" t="s">
        <v>369</v>
      </c>
      <c r="AD4" s="56" t="s">
        <v>24</v>
      </c>
      <c r="AF4" s="56" t="s">
        <v>370</v>
      </c>
      <c r="AH4" s="56" t="s">
        <v>24</v>
      </c>
      <c r="AJ4" s="56" t="s">
        <v>371</v>
      </c>
    </row>
    <row r="5" customFormat="false" ht="15" hidden="false" customHeight="false" outlineLevel="0" collapsed="false">
      <c r="A5" s="7" t="s">
        <v>372</v>
      </c>
      <c r="B5" s="7"/>
      <c r="C5" s="7"/>
      <c r="D5" s="7"/>
      <c r="E5" s="7"/>
      <c r="G5" s="7" t="s">
        <v>372</v>
      </c>
      <c r="H5" s="7"/>
      <c r="I5" s="7"/>
      <c r="J5" s="7"/>
      <c r="K5" s="7"/>
      <c r="M5" s="7" t="s">
        <v>373</v>
      </c>
      <c r="N5" s="7" t="n">
        <v>2530</v>
      </c>
      <c r="O5" s="7" t="n">
        <v>4080</v>
      </c>
      <c r="Q5" s="7" t="s">
        <v>162</v>
      </c>
      <c r="R5" s="7" t="n">
        <v>6328</v>
      </c>
      <c r="S5" s="7" t="n">
        <v>3797</v>
      </c>
      <c r="U5" s="7" t="s">
        <v>374</v>
      </c>
      <c r="V5" s="7" t="n">
        <v>0.625</v>
      </c>
      <c r="W5" s="7" t="n">
        <v>0.875</v>
      </c>
      <c r="Y5" s="7" t="s">
        <v>375</v>
      </c>
      <c r="Z5" s="7" t="n">
        <v>4220</v>
      </c>
      <c r="AB5" s="7" t="s">
        <v>123</v>
      </c>
      <c r="AD5" s="7" t="s">
        <v>25</v>
      </c>
      <c r="AF5" s="7" t="s">
        <v>33</v>
      </c>
      <c r="AH5" s="7" t="s">
        <v>42</v>
      </c>
      <c r="AJ5" s="7" t="n">
        <v>0</v>
      </c>
    </row>
    <row r="6" customFormat="false" ht="15" hidden="false" customHeight="false" outlineLevel="0" collapsed="false">
      <c r="A6" s="7" t="s">
        <v>376</v>
      </c>
      <c r="B6" s="7" t="n">
        <v>180</v>
      </c>
      <c r="C6" s="7" t="n">
        <v>100</v>
      </c>
      <c r="D6" s="7" t="n">
        <v>4</v>
      </c>
      <c r="E6" s="7" t="n">
        <v>6</v>
      </c>
      <c r="G6" s="7" t="s">
        <v>377</v>
      </c>
      <c r="H6" s="7" t="n">
        <v>200</v>
      </c>
      <c r="I6" s="7" t="n">
        <v>140</v>
      </c>
      <c r="J6" s="7" t="n">
        <v>6</v>
      </c>
      <c r="K6" s="7" t="n">
        <v>12</v>
      </c>
      <c r="M6" s="7" t="s">
        <v>66</v>
      </c>
      <c r="N6" s="7" t="n">
        <v>3515</v>
      </c>
      <c r="O6" s="7" t="n">
        <v>4570</v>
      </c>
      <c r="Q6" s="7" t="s">
        <v>378</v>
      </c>
      <c r="R6" s="7" t="n">
        <v>6328</v>
      </c>
      <c r="S6" s="7" t="n">
        <v>4781</v>
      </c>
      <c r="U6" s="7" t="s">
        <v>379</v>
      </c>
      <c r="V6" s="7" t="n">
        <v>0.75</v>
      </c>
      <c r="W6" s="7" t="n">
        <v>1</v>
      </c>
      <c r="Y6" s="7" t="s">
        <v>170</v>
      </c>
      <c r="Z6" s="7" t="n">
        <v>4920</v>
      </c>
      <c r="AB6" s="7" t="s">
        <v>380</v>
      </c>
      <c r="AD6" s="7" t="s">
        <v>381</v>
      </c>
      <c r="AF6" s="7" t="s">
        <v>382</v>
      </c>
      <c r="AH6" s="7" t="s">
        <v>383</v>
      </c>
      <c r="AJ6" s="7" t="n">
        <v>6</v>
      </c>
    </row>
    <row r="7" customFormat="false" ht="15" hidden="false" customHeight="false" outlineLevel="0" collapsed="false">
      <c r="A7" s="7" t="s">
        <v>384</v>
      </c>
      <c r="B7" s="7" t="n">
        <v>200</v>
      </c>
      <c r="C7" s="7" t="n">
        <v>100</v>
      </c>
      <c r="D7" s="7" t="n">
        <v>4</v>
      </c>
      <c r="E7" s="7" t="n">
        <v>8</v>
      </c>
      <c r="G7" s="7" t="s">
        <v>385</v>
      </c>
      <c r="H7" s="7" t="n">
        <v>220</v>
      </c>
      <c r="I7" s="7" t="n">
        <v>160</v>
      </c>
      <c r="J7" s="7" t="n">
        <v>6</v>
      </c>
      <c r="K7" s="7" t="n">
        <v>12</v>
      </c>
      <c r="M7" s="7" t="s">
        <v>386</v>
      </c>
      <c r="N7" s="7" t="n">
        <v>3515</v>
      </c>
      <c r="O7" s="7" t="n">
        <v>4570</v>
      </c>
      <c r="Q7" s="7" t="s">
        <v>387</v>
      </c>
      <c r="R7" s="7" t="n">
        <v>7945</v>
      </c>
      <c r="S7" s="7" t="n">
        <v>4781</v>
      </c>
      <c r="U7" s="7" t="s">
        <v>167</v>
      </c>
      <c r="V7" s="7" t="n">
        <v>0.875</v>
      </c>
      <c r="W7" s="7" t="n">
        <v>1.125</v>
      </c>
      <c r="AF7" s="7" t="s">
        <v>28</v>
      </c>
      <c r="AJ7" s="7" t="n">
        <v>8</v>
      </c>
    </row>
    <row r="8" customFormat="false" ht="15" hidden="false" customHeight="false" outlineLevel="0" collapsed="false">
      <c r="A8" s="7" t="s">
        <v>388</v>
      </c>
      <c r="B8" s="7" t="n">
        <v>220</v>
      </c>
      <c r="C8" s="7" t="n">
        <v>110</v>
      </c>
      <c r="D8" s="7" t="n">
        <v>4</v>
      </c>
      <c r="E8" s="7" t="n">
        <v>8</v>
      </c>
      <c r="G8" s="7" t="s">
        <v>389</v>
      </c>
      <c r="H8" s="7" t="n">
        <v>240</v>
      </c>
      <c r="I8" s="7" t="n">
        <v>180</v>
      </c>
      <c r="J8" s="7" t="n">
        <v>6</v>
      </c>
      <c r="K8" s="7" t="n">
        <v>12</v>
      </c>
      <c r="M8" s="7" t="s">
        <v>390</v>
      </c>
      <c r="N8" s="7" t="n">
        <v>3515</v>
      </c>
      <c r="O8" s="7" t="n">
        <v>4920</v>
      </c>
      <c r="Q8" s="7" t="s">
        <v>391</v>
      </c>
      <c r="R8" s="7" t="n">
        <v>7945</v>
      </c>
      <c r="S8" s="7" t="n">
        <v>5906</v>
      </c>
      <c r="U8" s="7" t="s">
        <v>392</v>
      </c>
      <c r="V8" s="7" t="n">
        <v>1</v>
      </c>
      <c r="W8" s="7" t="n">
        <v>1.25</v>
      </c>
      <c r="AJ8" s="7" t="n">
        <v>10</v>
      </c>
    </row>
    <row r="9" customFormat="false" ht="15" hidden="false" customHeight="false" outlineLevel="0" collapsed="false">
      <c r="A9" s="7" t="s">
        <v>393</v>
      </c>
      <c r="B9" s="7" t="n">
        <v>250</v>
      </c>
      <c r="C9" s="7" t="n">
        <v>130</v>
      </c>
      <c r="D9" s="7" t="n">
        <v>4</v>
      </c>
      <c r="E9" s="7" t="n">
        <v>8</v>
      </c>
      <c r="G9" s="7" t="s">
        <v>394</v>
      </c>
      <c r="H9" s="7" t="n">
        <v>260</v>
      </c>
      <c r="I9" s="7" t="n">
        <v>180</v>
      </c>
      <c r="J9" s="7" t="n">
        <v>6</v>
      </c>
      <c r="K9" s="7" t="n">
        <v>12</v>
      </c>
      <c r="U9" s="7" t="s">
        <v>395</v>
      </c>
      <c r="V9" s="7" t="n">
        <v>1.125</v>
      </c>
      <c r="W9" s="7" t="n">
        <v>1.5</v>
      </c>
      <c r="AJ9" s="7" t="n">
        <v>12</v>
      </c>
    </row>
    <row r="10" customFormat="false" ht="15" hidden="false" customHeight="false" outlineLevel="0" collapsed="false">
      <c r="A10" s="7" t="s">
        <v>396</v>
      </c>
      <c r="B10" s="7" t="n">
        <v>270</v>
      </c>
      <c r="C10" s="7" t="n">
        <v>140</v>
      </c>
      <c r="D10" s="7" t="n">
        <v>4</v>
      </c>
      <c r="E10" s="7" t="n">
        <v>8</v>
      </c>
      <c r="G10" s="7" t="s">
        <v>397</v>
      </c>
      <c r="H10" s="7" t="n">
        <v>280</v>
      </c>
      <c r="I10" s="7" t="n">
        <v>180</v>
      </c>
      <c r="J10" s="7" t="n">
        <v>6</v>
      </c>
      <c r="K10" s="7" t="n">
        <v>12</v>
      </c>
      <c r="U10" s="7" t="s">
        <v>398</v>
      </c>
      <c r="V10" s="7" t="n">
        <v>1.25</v>
      </c>
      <c r="W10" s="7" t="n">
        <v>1.625</v>
      </c>
      <c r="AJ10" s="7" t="n">
        <v>15</v>
      </c>
    </row>
    <row r="11" customFormat="false" ht="15" hidden="false" customHeight="false" outlineLevel="0" collapsed="false">
      <c r="A11" s="7" t="s">
        <v>399</v>
      </c>
      <c r="B11" s="7" t="n">
        <v>300</v>
      </c>
      <c r="C11" s="7" t="n">
        <v>150</v>
      </c>
      <c r="D11" s="7" t="n">
        <v>4</v>
      </c>
      <c r="E11" s="7" t="n">
        <v>10</v>
      </c>
      <c r="G11" s="7" t="s">
        <v>400</v>
      </c>
      <c r="H11" s="7" t="n">
        <v>300</v>
      </c>
      <c r="I11" s="7" t="n">
        <v>180</v>
      </c>
      <c r="J11" s="7" t="n">
        <v>6</v>
      </c>
      <c r="K11" s="7" t="n">
        <v>12</v>
      </c>
      <c r="AJ11" s="7" t="n">
        <v>16</v>
      </c>
    </row>
    <row r="12" customFormat="false" ht="15" hidden="false" customHeight="false" outlineLevel="0" collapsed="false">
      <c r="A12" s="7" t="s">
        <v>401</v>
      </c>
      <c r="B12" s="7" t="n">
        <v>330</v>
      </c>
      <c r="C12" s="7" t="n">
        <v>160</v>
      </c>
      <c r="D12" s="7" t="n">
        <v>6</v>
      </c>
      <c r="E12" s="7" t="n">
        <v>10</v>
      </c>
      <c r="G12" s="7" t="s">
        <v>402</v>
      </c>
      <c r="H12" s="7" t="n">
        <v>320</v>
      </c>
      <c r="I12" s="7" t="n">
        <v>180</v>
      </c>
      <c r="J12" s="7" t="n">
        <v>6</v>
      </c>
      <c r="K12" s="7" t="n">
        <v>12</v>
      </c>
      <c r="AJ12" s="7" t="n">
        <v>19</v>
      </c>
    </row>
    <row r="13" customFormat="false" ht="15" hidden="false" customHeight="false" outlineLevel="0" collapsed="false">
      <c r="A13" s="7" t="s">
        <v>403</v>
      </c>
      <c r="B13" s="7" t="n">
        <v>360</v>
      </c>
      <c r="C13" s="7" t="n">
        <v>180</v>
      </c>
      <c r="D13" s="7" t="n">
        <v>6</v>
      </c>
      <c r="E13" s="7" t="n">
        <v>10</v>
      </c>
      <c r="G13" s="7" t="s">
        <v>404</v>
      </c>
      <c r="H13" s="7" t="n">
        <v>340</v>
      </c>
      <c r="I13" s="7" t="n">
        <v>180</v>
      </c>
      <c r="J13" s="7" t="n">
        <v>6</v>
      </c>
      <c r="K13" s="7" t="n">
        <v>12</v>
      </c>
      <c r="AJ13" s="7" t="n">
        <v>20</v>
      </c>
    </row>
    <row r="14" customFormat="false" ht="15" hidden="false" customHeight="false" outlineLevel="0" collapsed="false">
      <c r="A14" s="7" t="s">
        <v>405</v>
      </c>
      <c r="B14" s="7" t="n">
        <v>380</v>
      </c>
      <c r="C14" s="7" t="n">
        <v>180</v>
      </c>
      <c r="D14" s="7" t="n">
        <v>6</v>
      </c>
      <c r="E14" s="7" t="n">
        <v>10</v>
      </c>
      <c r="G14" s="7" t="s">
        <v>406</v>
      </c>
      <c r="H14" s="7" t="n">
        <v>360</v>
      </c>
      <c r="I14" s="7" t="n">
        <v>180</v>
      </c>
      <c r="J14" s="7" t="n">
        <v>6</v>
      </c>
      <c r="K14" s="7" t="n">
        <v>12</v>
      </c>
      <c r="AJ14" s="7" t="n">
        <v>22</v>
      </c>
    </row>
    <row r="15" customFormat="false" ht="15" hidden="false" customHeight="false" outlineLevel="0" collapsed="false">
      <c r="A15" s="7" t="s">
        <v>407</v>
      </c>
      <c r="B15" s="7" t="n">
        <v>400</v>
      </c>
      <c r="C15" s="7" t="n">
        <v>180</v>
      </c>
      <c r="D15" s="7" t="n">
        <v>6</v>
      </c>
      <c r="E15" s="7" t="n">
        <v>10</v>
      </c>
      <c r="G15" s="7" t="s">
        <v>408</v>
      </c>
      <c r="H15" s="7" t="n">
        <v>380</v>
      </c>
      <c r="I15" s="7" t="n">
        <v>200</v>
      </c>
      <c r="J15" s="7" t="n">
        <v>8</v>
      </c>
      <c r="K15" s="7" t="n">
        <v>15</v>
      </c>
      <c r="AJ15" s="7" t="n">
        <v>25</v>
      </c>
    </row>
    <row r="16" customFormat="false" ht="15" hidden="false" customHeight="false" outlineLevel="0" collapsed="false">
      <c r="A16" s="7" t="s">
        <v>49</v>
      </c>
      <c r="B16" s="7" t="n">
        <v>400</v>
      </c>
      <c r="C16" s="7" t="n">
        <v>180</v>
      </c>
      <c r="D16" s="7" t="n">
        <v>6</v>
      </c>
      <c r="E16" s="7" t="n">
        <v>12</v>
      </c>
      <c r="G16" s="7" t="s">
        <v>409</v>
      </c>
      <c r="H16" s="7" t="n">
        <v>400</v>
      </c>
      <c r="I16" s="7" t="n">
        <v>200</v>
      </c>
      <c r="J16" s="7" t="n">
        <v>8</v>
      </c>
      <c r="K16" s="7" t="n">
        <v>15</v>
      </c>
      <c r="AJ16" s="7" t="n">
        <v>28</v>
      </c>
    </row>
    <row r="17" customFormat="false" ht="15" hidden="false" customHeight="false" outlineLevel="0" collapsed="false">
      <c r="A17" s="7" t="s">
        <v>410</v>
      </c>
      <c r="B17" s="7" t="n">
        <v>420</v>
      </c>
      <c r="C17" s="7" t="n">
        <v>180</v>
      </c>
      <c r="D17" s="7" t="n">
        <v>6</v>
      </c>
      <c r="E17" s="7" t="n">
        <v>12</v>
      </c>
      <c r="G17" s="7" t="s">
        <v>411</v>
      </c>
      <c r="H17" s="7" t="n">
        <v>420</v>
      </c>
      <c r="I17" s="7" t="n">
        <v>210</v>
      </c>
      <c r="J17" s="7" t="n">
        <v>8</v>
      </c>
      <c r="K17" s="7" t="n">
        <v>15</v>
      </c>
      <c r="AJ17" s="7" t="n">
        <v>30</v>
      </c>
    </row>
    <row r="18" customFormat="false" ht="15" hidden="false" customHeight="false" outlineLevel="0" collapsed="false">
      <c r="A18" s="7" t="s">
        <v>412</v>
      </c>
      <c r="B18" s="7" t="n">
        <v>440</v>
      </c>
      <c r="C18" s="7" t="n">
        <v>180</v>
      </c>
      <c r="D18" s="7" t="n">
        <v>6</v>
      </c>
      <c r="E18" s="7" t="n">
        <v>12</v>
      </c>
      <c r="G18" s="7" t="s">
        <v>413</v>
      </c>
      <c r="H18" s="7" t="n">
        <v>440</v>
      </c>
      <c r="I18" s="7" t="n">
        <v>220</v>
      </c>
      <c r="J18" s="7" t="n">
        <v>8</v>
      </c>
      <c r="K18" s="7" t="n">
        <v>15</v>
      </c>
      <c r="AJ18" s="7" t="n">
        <v>32</v>
      </c>
    </row>
    <row r="19" customFormat="false" ht="15" hidden="false" customHeight="false" outlineLevel="0" collapsed="false">
      <c r="A19" s="7" t="s">
        <v>414</v>
      </c>
      <c r="B19" s="7" t="n">
        <v>310</v>
      </c>
      <c r="C19" s="7" t="n">
        <v>165</v>
      </c>
      <c r="D19" s="7" t="n">
        <v>5.8</v>
      </c>
      <c r="E19" s="7" t="n">
        <v>9.7</v>
      </c>
      <c r="G19" s="7" t="s">
        <v>415</v>
      </c>
      <c r="H19" s="7" t="n">
        <v>460</v>
      </c>
      <c r="I19" s="7" t="n">
        <v>230</v>
      </c>
      <c r="J19" s="7" t="n">
        <v>8</v>
      </c>
      <c r="K19" s="7" t="n">
        <v>15</v>
      </c>
      <c r="AJ19" s="7" t="n">
        <v>35</v>
      </c>
    </row>
    <row r="20" customFormat="false" ht="15" hidden="false" customHeight="false" outlineLevel="0" collapsed="false">
      <c r="A20" s="7" t="s">
        <v>416</v>
      </c>
      <c r="B20" s="7" t="n">
        <v>351</v>
      </c>
      <c r="C20" s="7" t="n">
        <v>171</v>
      </c>
      <c r="D20" s="7" t="n">
        <v>6.9</v>
      </c>
      <c r="E20" s="7" t="n">
        <v>9.8</v>
      </c>
      <c r="G20" s="7" t="s">
        <v>417</v>
      </c>
      <c r="H20" s="7" t="n">
        <v>480</v>
      </c>
      <c r="I20" s="7" t="n">
        <v>240</v>
      </c>
      <c r="J20" s="7" t="n">
        <v>8</v>
      </c>
      <c r="K20" s="7" t="n">
        <v>15</v>
      </c>
      <c r="AJ20" s="7" t="n">
        <v>38</v>
      </c>
    </row>
    <row r="21" customFormat="false" ht="15" hidden="false" customHeight="false" outlineLevel="0" collapsed="false">
      <c r="A21" s="7" t="s">
        <v>418</v>
      </c>
      <c r="B21" s="7" t="n">
        <v>403</v>
      </c>
      <c r="C21" s="7" t="n">
        <v>140</v>
      </c>
      <c r="D21" s="7" t="n">
        <v>7</v>
      </c>
      <c r="E21" s="7" t="n">
        <v>11.2</v>
      </c>
      <c r="G21" s="7" t="s">
        <v>92</v>
      </c>
      <c r="H21" s="7" t="n">
        <v>500</v>
      </c>
      <c r="I21" s="7" t="n">
        <v>250</v>
      </c>
      <c r="J21" s="7" t="n">
        <v>10</v>
      </c>
      <c r="K21" s="7" t="n">
        <v>15</v>
      </c>
      <c r="AJ21" s="7" t="n">
        <v>40</v>
      </c>
    </row>
    <row r="22" customFormat="false" ht="15" hidden="false" customHeight="false" outlineLevel="0" collapsed="false">
      <c r="A22" s="7" t="s">
        <v>419</v>
      </c>
      <c r="B22" s="7" t="n">
        <v>450</v>
      </c>
      <c r="C22" s="7" t="n">
        <v>152</v>
      </c>
      <c r="D22" s="7" t="n">
        <v>7.6</v>
      </c>
      <c r="E22" s="7" t="n">
        <v>10.8</v>
      </c>
      <c r="G22" s="7" t="s">
        <v>420</v>
      </c>
      <c r="H22" s="7" t="n">
        <v>520</v>
      </c>
      <c r="I22" s="7" t="n">
        <v>260</v>
      </c>
      <c r="J22" s="7" t="n">
        <v>10</v>
      </c>
      <c r="K22" s="7" t="n">
        <v>15</v>
      </c>
    </row>
    <row r="23" customFormat="false" ht="15" hidden="false" customHeight="false" outlineLevel="0" collapsed="false">
      <c r="A23" s="7" t="s">
        <v>421</v>
      </c>
      <c r="B23" s="7" t="n">
        <v>525</v>
      </c>
      <c r="C23" s="7" t="n">
        <v>165</v>
      </c>
      <c r="D23" s="7" t="n">
        <v>8.9</v>
      </c>
      <c r="E23" s="7" t="n">
        <v>11.4</v>
      </c>
      <c r="G23" s="7" t="s">
        <v>422</v>
      </c>
      <c r="H23" s="7" t="n">
        <v>540</v>
      </c>
      <c r="I23" s="7" t="n">
        <v>270</v>
      </c>
      <c r="J23" s="7" t="n">
        <v>10</v>
      </c>
      <c r="K23" s="7" t="n">
        <v>15</v>
      </c>
    </row>
    <row r="24" customFormat="false" ht="15" hidden="false" customHeight="false" outlineLevel="0" collapsed="false">
      <c r="G24" s="7" t="s">
        <v>423</v>
      </c>
      <c r="H24" s="7" t="n">
        <v>254</v>
      </c>
      <c r="I24" s="7" t="n">
        <v>254</v>
      </c>
      <c r="J24" s="7" t="n">
        <v>8.6</v>
      </c>
      <c r="K24" s="7" t="n">
        <v>14.2</v>
      </c>
    </row>
    <row r="25" customFormat="false" ht="15" hidden="false" customHeight="false" outlineLevel="0" collapsed="false">
      <c r="G25" s="7" t="s">
        <v>424</v>
      </c>
      <c r="H25" s="7" t="n">
        <v>308</v>
      </c>
      <c r="I25" s="7" t="n">
        <v>305</v>
      </c>
      <c r="J25" s="7" t="n">
        <v>9.9</v>
      </c>
      <c r="K25" s="7" t="n">
        <v>15.4</v>
      </c>
    </row>
    <row r="26" customFormat="false" ht="15" hidden="false" customHeight="false" outlineLevel="0" collapsed="false">
      <c r="G26" s="7" t="s">
        <v>425</v>
      </c>
      <c r="H26" s="7" t="n">
        <v>356</v>
      </c>
      <c r="I26" s="7" t="n">
        <v>368</v>
      </c>
      <c r="J26" s="7" t="n">
        <v>11.2</v>
      </c>
      <c r="K26" s="7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7" t="s">
        <v>426</v>
      </c>
    </row>
    <row r="2" customFormat="false" ht="15" hidden="false" customHeight="false" outlineLevel="0" collapsed="false">
      <c r="D2" s="58" t="s">
        <v>427</v>
      </c>
      <c r="G2" s="58" t="s">
        <v>361</v>
      </c>
      <c r="J2" s="58" t="s">
        <v>428</v>
      </c>
      <c r="M2" s="58" t="s">
        <v>429</v>
      </c>
      <c r="P2" s="58" t="s">
        <v>197</v>
      </c>
      <c r="S2" s="58" t="s">
        <v>430</v>
      </c>
      <c r="V2" s="58" t="s">
        <v>431</v>
      </c>
      <c r="Y2" s="58" t="s">
        <v>427</v>
      </c>
      <c r="AB2" s="58" t="s">
        <v>432</v>
      </c>
      <c r="AE2" s="58" t="s">
        <v>433</v>
      </c>
      <c r="AH2" s="58" t="s">
        <v>434</v>
      </c>
      <c r="AK2" s="58" t="s">
        <v>435</v>
      </c>
      <c r="AN2" s="58" t="s">
        <v>436</v>
      </c>
      <c r="AQ2" s="58" t="s">
        <v>437</v>
      </c>
      <c r="AT2" s="58" t="s">
        <v>438</v>
      </c>
      <c r="AW2" s="58" t="s">
        <v>439</v>
      </c>
    </row>
    <row r="3" customFormat="false" ht="15" hidden="false" customHeight="false" outlineLevel="0" collapsed="false">
      <c r="A3" s="0" t="s">
        <v>440</v>
      </c>
      <c r="B3" s="0" t="n">
        <f aca="false">IF(cfg_u="Extendida — 1+1 (4E)",p_pfo+p_de,0)</f>
        <v>9</v>
      </c>
    </row>
    <row r="4" customFormat="false" ht="15" hidden="false" customHeight="false" outlineLevel="0" collapsed="false">
      <c r="A4" s="0" t="s">
        <v>441</v>
      </c>
      <c r="B4" s="0" t="n">
        <f aca="false">IF(cfg_d="Extendida — 1+1 (4E)",p_pfo+p_de,0)</f>
        <v>0</v>
      </c>
      <c r="D4" s="0" t="n">
        <f aca="false">(-p_bp/2)/dSf</f>
        <v>-0.264831755308244</v>
      </c>
      <c r="E4" s="0" t="n">
        <f aca="false">((dYb)-dYc)/dSf</f>
        <v>-0.925925925925926</v>
      </c>
      <c r="G4" s="0" t="n">
        <f aca="false">(-b_bf/2)/dSf</f>
        <v>-0.23834857977742</v>
      </c>
      <c r="H4" s="0" t="n">
        <f aca="false">((b_dp/2)-dYc)/dSf</f>
        <v>0.687577346148506</v>
      </c>
      <c r="J4" s="0" t="n">
        <f aca="false">(-p_g/2)/dSf</f>
        <v>-0.145657465419534</v>
      </c>
      <c r="K4" s="0" t="n">
        <f aca="false">(((IF(cfg_u="Extendida — 1+1 (4E)",b_dp/2+p_pfo,b_dp/2-b_tfp-p_pfi)))-dYc)/dSf</f>
        <v>0.819993223802628</v>
      </c>
      <c r="M4" s="0" t="n">
        <f aca="false">(-p_g/2)/dSf</f>
        <v>-0.145657465419534</v>
      </c>
      <c r="N4" s="0" t="n">
        <f aca="false">((-(IF(cfg_d="Extendida — 1+1 (4E)",b_dp/2+p_pfo,b_dp/2-b_tfp-p_pfi)))-dYc)/dSf</f>
        <v>-0.761239982830315</v>
      </c>
      <c r="P4" s="0" t="n">
        <f aca="false">((-c_d*t_rod)-dxc)/dSl</f>
        <v>-0.952380952380952</v>
      </c>
      <c r="Q4" s="0" t="n">
        <f aca="false">(dYb-10)/dSl</f>
        <v>-0.519003345923647</v>
      </c>
      <c r="S4" s="0" t="n">
        <f aca="false">((-c_tf*t_rod)-dxc)/dSl</f>
        <v>-0.330286996953664</v>
      </c>
      <c r="T4" s="0" t="n">
        <f aca="false">(dYb-10)/dSl</f>
        <v>-0.519003345923647</v>
      </c>
      <c r="V4" s="0" t="n">
        <f aca="false">(((-c_d+c_tf)*t_rod)-dxc)/dSl</f>
        <v>-0.933140933140933</v>
      </c>
      <c r="W4" s="0" t="n">
        <f aca="false">(dYb-10)/dSl</f>
        <v>-0.519003345923647</v>
      </c>
      <c r="Y4" s="0" t="n">
        <f aca="false">((0)-dxc)/dSl</f>
        <v>-0.311046977713644</v>
      </c>
      <c r="Z4" s="0" t="n">
        <f aca="false">(dYb)/dSl</f>
        <v>-0.390736550990186</v>
      </c>
      <c r="AB4" s="0" t="n">
        <f aca="false">((-p_tp*(1-t_rod))-dxc)/dSl</f>
        <v>-0.311046977713644</v>
      </c>
      <c r="AC4" s="0" t="n">
        <f aca="false">(dYb*(1-t_rod))/dSl</f>
        <v>-0</v>
      </c>
      <c r="AE4" s="0" t="n">
        <f aca="false">((p_tp)-dxc)/dSl</f>
        <v>-0.278980278980279</v>
      </c>
      <c r="AF4" s="0" t="n">
        <f aca="false">(b_dp/2)/dSl</f>
        <v>0.390736550990186</v>
      </c>
      <c r="AH4" s="0" t="n">
        <f aca="false">((p_tp)-dxc)/dSl</f>
        <v>-0.278980278980279</v>
      </c>
      <c r="AI4" s="0" t="n">
        <f aca="false">(-b_dp/2)/dSl</f>
        <v>-0.390736550990186</v>
      </c>
      <c r="AK4" s="0" t="n">
        <f aca="false">((IF(t_rod=1,0,-p_tp))-dxc)/dSl</f>
        <v>-0.311046977713644</v>
      </c>
      <c r="AL4" s="0" t="n">
        <f aca="false">(IF(t_rod=1,0,b_dp/2))/dSl</f>
        <v>0</v>
      </c>
      <c r="AN4" s="0" t="n">
        <f aca="false">((IF(t_rod=1,0,-p_tp))-dxc)/dSl</f>
        <v>-0.311046977713644</v>
      </c>
      <c r="AO4" s="0" t="n">
        <f aca="false">(IF(t_rod=1,0,-b_dp/2))/dSl</f>
        <v>0</v>
      </c>
      <c r="AQ4" s="0" t="n">
        <f aca="false">(((-c_d+c_tf)*t_rod)-dxc)/dSl</f>
        <v>-0.933140933140933</v>
      </c>
      <c r="AR4" s="0" t="n">
        <f aca="false">(b_dp/2-b_tfp/2)/dSl</f>
        <v>0.382921819970382</v>
      </c>
      <c r="AT4" s="0" t="n">
        <f aca="false">(((-c_d+c_tf)*t_rod)-dxc)/dSl</f>
        <v>-0.933140933140933</v>
      </c>
      <c r="AU4" s="0" t="n">
        <f aca="false">(-b_dp/2+b_tfp/2)/dSl</f>
        <v>-0.382921819970382</v>
      </c>
      <c r="AW4" s="0" t="n">
        <f aca="false">((IF(t_rod=1,(p_tp-c_tf)/2,0))-dxc)/dSl</f>
        <v>-0.304633637966971</v>
      </c>
      <c r="AX4" s="0" t="n">
        <f aca="false">((IF(cfg_u="Extendida — 1+1 (4E)",b_dp/2+p_pfo,b_dp/2-b_tfp-p_pfi)))/dSl</f>
        <v>0.454869948456916</v>
      </c>
    </row>
    <row r="5" customFormat="false" ht="15" hidden="false" customHeight="false" outlineLevel="0" collapsed="false">
      <c r="A5" s="0" t="s">
        <v>442</v>
      </c>
      <c r="B5" s="0" t="n">
        <f aca="false">b_dp/2+dEu</f>
        <v>39.4627983565724</v>
      </c>
      <c r="D5" s="0" t="n">
        <f aca="false">(-p_bp/2)/dSf</f>
        <v>-0.264831755308244</v>
      </c>
      <c r="E5" s="0" t="n">
        <f aca="false">((dYt)-dYc)/dSf</f>
        <v>0.925925925925926</v>
      </c>
      <c r="G5" s="0" t="n">
        <f aca="false">(b_bf/2)/dSf</f>
        <v>0.23834857977742</v>
      </c>
      <c r="H5" s="0" t="n">
        <f aca="false">((b_dp/2)-dYc)/dSf</f>
        <v>0.687577346148506</v>
      </c>
      <c r="J5" s="0" t="n">
        <f aca="false">(p_g/2)/dSf</f>
        <v>0.145657465419534</v>
      </c>
      <c r="K5" s="0" t="n">
        <f aca="false">(((IF(cfg_u="Extendida — 1+1 (4E)",b_dp/2+p_pfo,b_dp/2-b_tfp-p_pfi)))-dYc)/dSf</f>
        <v>0.819993223802628</v>
      </c>
      <c r="M5" s="0" t="n">
        <f aca="false">(p_g/2)/dSf</f>
        <v>0.145657465419534</v>
      </c>
      <c r="N5" s="0" t="n">
        <f aca="false">((-(IF(cfg_d="Extendida — 1+1 (4E)",b_dp/2+p_pfo,b_dp/2-b_tfp-p_pfi)))-dYc)/dSf</f>
        <v>-0.761239982830315</v>
      </c>
      <c r="P5" s="0" t="n">
        <f aca="false">((-c_d*t_rod)-dxc)/dSl</f>
        <v>-0.952380952380952</v>
      </c>
      <c r="Q5" s="0" t="n">
        <f aca="false">(dYt+3)/dSl</f>
        <v>0.54465670491034</v>
      </c>
      <c r="S5" s="0" t="n">
        <f aca="false">((-c_tf*t_rod)-dxc)/dSl</f>
        <v>-0.330286996953664</v>
      </c>
      <c r="T5" s="0" t="n">
        <f aca="false">(dYt+3)/dSl</f>
        <v>0.54465670491034</v>
      </c>
      <c r="V5" s="0" t="n">
        <f aca="false">(((-c_d+c_tf)*t_rod)-dxc)/dSl</f>
        <v>-0.933140933140933</v>
      </c>
      <c r="W5" s="0" t="n">
        <f aca="false">(dYt+3)/dSl</f>
        <v>0.54465670491034</v>
      </c>
      <c r="Y5" s="0" t="n">
        <f aca="false">((0)-dxc)/dSl</f>
        <v>-0.311046977713644</v>
      </c>
      <c r="Z5" s="0" t="n">
        <f aca="false">(dYt)/dSl</f>
        <v>0.506176666430301</v>
      </c>
      <c r="AB5" s="0" t="n">
        <f aca="false">((-p_tp*(1-t_rod))-dxc)/dSl</f>
        <v>-0.311046977713644</v>
      </c>
      <c r="AC5" s="0" t="n">
        <f aca="false">(dYt*(1-t_rod))/dSl</f>
        <v>0</v>
      </c>
      <c r="AE5" s="0" t="n">
        <f aca="false">((p_tp+1*dLr)-dxc)/dSl</f>
        <v>0.952380952380952</v>
      </c>
      <c r="AF5" s="0" t="n">
        <f aca="false">(b_dp/2+dsg*dT*dLr)/dSl</f>
        <v>0.607858759077569</v>
      </c>
      <c r="AH5" s="0" t="n">
        <f aca="false">((p_tp+1*dLh)-dxc)/dSl</f>
        <v>0.952380952380952</v>
      </c>
      <c r="AI5" s="0" t="n">
        <f aca="false">(-b_dp/2+dsg*dT*dLh+(b_d-dd2)/k_cos)/dSl</f>
        <v>0.086876691090655</v>
      </c>
      <c r="AK5" s="0" t="n">
        <f aca="false">((IF(t_rod=1,0,-p_tp+-1*dLr))-dxc)/dSl</f>
        <v>-0.311046977713644</v>
      </c>
      <c r="AL5" s="0" t="n">
        <f aca="false">(IF(t_rod=1,0,b_dp/2+dsg*dT*dLr))/dSl</f>
        <v>0</v>
      </c>
      <c r="AN5" s="0" t="n">
        <f aca="false">((IF(t_rod=1,0,-p_tp+-1*dLh))-dxc)/dSl</f>
        <v>-0.311046977713644</v>
      </c>
      <c r="AO5" s="0" t="n">
        <f aca="false">(IF(t_rod=1,0,-b_dp/2+dsg*dT*dLh+(b_d-dd2)/k_cos))/dSl</f>
        <v>0</v>
      </c>
      <c r="AQ5" s="0" t="n">
        <f aca="false">((IF(AND(t_rod=1,cp_usar="Sí"),-c_tf,(-c_d+c_tf)*t_rod))-dxc)/dSl</f>
        <v>-0.330286996953664</v>
      </c>
      <c r="AR5" s="0" t="n">
        <f aca="false">(b_dp/2-b_tfp/2)/dSl</f>
        <v>0.382921819970382</v>
      </c>
      <c r="AT5" s="0" t="n">
        <f aca="false">((IF(AND(t_rod=1,cp_usar="Sí"),-c_tf,(-c_d+c_tf)*t_rod))-dxc)/dSl</f>
        <v>-0.330286996953664</v>
      </c>
      <c r="AU5" s="0" t="n">
        <f aca="false">(-b_dp/2+b_tfp/2)/dSl</f>
        <v>-0.382921819970382</v>
      </c>
      <c r="AW5" s="0" t="n">
        <f aca="false">((IF(t_rod=1,(p_tp-c_tf)/2,0))-dxc)/dSl</f>
        <v>-0.304633637966971</v>
      </c>
      <c r="AX5" s="0" t="n">
        <f aca="false">((b_dp/2-b_tfp-p_pfi))/dSl</f>
        <v>0.310973691483847</v>
      </c>
    </row>
    <row r="6" customFormat="false" ht="15" hidden="false" customHeight="false" outlineLevel="0" collapsed="false">
      <c r="A6" s="0" t="s">
        <v>443</v>
      </c>
      <c r="B6" s="0" t="n">
        <f aca="false">-b_dp/2-dEd</f>
        <v>-30.4627983565724</v>
      </c>
      <c r="D6" s="0" t="n">
        <f aca="false">(p_bp/2)/dSf</f>
        <v>0.264831755308244</v>
      </c>
      <c r="E6" s="0" t="n">
        <f aca="false">((dYt)-dYc)/dSf</f>
        <v>0.925925925925926</v>
      </c>
      <c r="G6" s="0" t="n">
        <f aca="false">(b_bf/2)/dSf</f>
        <v>0.23834857977742</v>
      </c>
      <c r="H6" s="0" t="n">
        <f aca="false">((b_dp/2-b_tfp)-dYc)/dSf</f>
        <v>0.655307280707017</v>
      </c>
      <c r="J6" s="0" t="n">
        <f aca="false">(-p_g/2)/dSf</f>
        <v>-0.145657465419534</v>
      </c>
      <c r="K6" s="0" t="n">
        <f aca="false">(((b_dp/2-b_tfp-p_pfi))-dYc)/dSf</f>
        <v>0.522891403052895</v>
      </c>
      <c r="M6" s="0" t="n">
        <f aca="false">(-p_g/2)/dSf</f>
        <v>-0.145657465419534</v>
      </c>
      <c r="N6" s="0" t="n">
        <f aca="false">((-(b_dp/2-b_tfp-p_pfi))-dYc)/dSf</f>
        <v>-0.761239982830315</v>
      </c>
      <c r="P6" s="0" t="n">
        <f aca="false">((-0.0001*t_rod)-dxc)/dSl</f>
        <v>-0.311048260381594</v>
      </c>
      <c r="Q6" s="0" t="n">
        <f aca="false">(dYt+3)/dSl</f>
        <v>0.54465670491034</v>
      </c>
      <c r="Y6" s="0" t="n">
        <f aca="false">((p_tp)-dxc)/dSl</f>
        <v>-0.278980278980279</v>
      </c>
      <c r="Z6" s="0" t="n">
        <f aca="false">(dYt)/dSl</f>
        <v>0.506176666430301</v>
      </c>
      <c r="AB6" s="0" t="n">
        <f aca="false">((0)-dxc)/dSl</f>
        <v>-0.311046977713644</v>
      </c>
      <c r="AC6" s="0" t="n">
        <f aca="false">(dYt*(1-t_rod))/dSl</f>
        <v>0</v>
      </c>
      <c r="AH6" s="0" t="n">
        <f aca="false">((p_tp+1*dLr)-dxc)/dSl</f>
        <v>0.952380952380952</v>
      </c>
      <c r="AI6" s="0" t="n">
        <f aca="false">(-b_dp/2+dsg*dT*dLr+(b_d-dd2)/k_cos)/dSl</f>
        <v>0.086876691090655</v>
      </c>
      <c r="AN6" s="0" t="n">
        <f aca="false">((IF(t_rod=1,0,-p_tp+-1*dLr))-dxc)/dSl</f>
        <v>-0.311046977713644</v>
      </c>
      <c r="AO6" s="0" t="n">
        <f aca="false">(IF(t_rod=1,0,-b_dp/2+dsg*dT*dLr+(b_d-dd2)/k_cos))/dSl</f>
        <v>0</v>
      </c>
      <c r="AW6" s="0" t="n">
        <f aca="false">((IF(t_rod=1,(p_tp-c_tf)/2,0))-dxc)/dSl</f>
        <v>-0.304633637966971</v>
      </c>
      <c r="AX6" s="0" t="n">
        <f aca="false">((IF(cfg_u="Al ras — 2 filas (4 pernos)",b_dp/2-b_tfp-p_pfi-p_pb,b_dp/2-b_tfp-p_pfi)))/dSl</f>
        <v>0.310973691483847</v>
      </c>
    </row>
    <row r="7" customFormat="false" ht="15" hidden="false" customHeight="false" outlineLevel="0" collapsed="false">
      <c r="A7" s="0" t="s">
        <v>444</v>
      </c>
      <c r="B7" s="0" t="n">
        <f aca="false">MAX(dYt-dYb,p_bp)/2*1.08</f>
        <v>37.7598222250981</v>
      </c>
      <c r="D7" s="0" t="n">
        <f aca="false">(p_bp/2)/dSf</f>
        <v>0.264831755308244</v>
      </c>
      <c r="E7" s="0" t="n">
        <f aca="false">((dYb)-dYc)/dSf</f>
        <v>-0.925925925925926</v>
      </c>
      <c r="G7" s="0" t="n">
        <f aca="false">(b_tw/2)/dSf</f>
        <v>0.00794495265924733</v>
      </c>
      <c r="H7" s="0" t="n">
        <f aca="false">((b_dp/2-b_tfp)-dYc)/dSf</f>
        <v>0.655307280707017</v>
      </c>
      <c r="J7" s="0" t="n">
        <f aca="false">(p_g/2)/dSf</f>
        <v>0.145657465419534</v>
      </c>
      <c r="K7" s="0" t="n">
        <f aca="false">(((b_dp/2-b_tfp-p_pfi))-dYc)/dSf</f>
        <v>0.522891403052895</v>
      </c>
      <c r="M7" s="0" t="n">
        <f aca="false">(p_g/2)/dSf</f>
        <v>0.145657465419534</v>
      </c>
      <c r="N7" s="0" t="n">
        <f aca="false">((-(b_dp/2-b_tfp-p_pfi))-dYc)/dSf</f>
        <v>-0.761239982830315</v>
      </c>
      <c r="P7" s="0" t="n">
        <f aca="false">((-0.0001*t_rod)-dxc)/dSl</f>
        <v>-0.311048260381594</v>
      </c>
      <c r="Q7" s="0" t="n">
        <f aca="false">(dYb-10)/dSl</f>
        <v>-0.519003345923647</v>
      </c>
      <c r="Y7" s="0" t="n">
        <f aca="false">((p_tp)-dxc)/dSl</f>
        <v>-0.278980278980279</v>
      </c>
      <c r="Z7" s="0" t="n">
        <f aca="false">(dYb)/dSl</f>
        <v>-0.390736550990186</v>
      </c>
      <c r="AB7" s="0" t="n">
        <f aca="false">((0)-dxc)/dSl</f>
        <v>-0.311046977713644</v>
      </c>
      <c r="AC7" s="0" t="n">
        <f aca="false">(dYb*(1-t_rod))/dSl</f>
        <v>-0</v>
      </c>
      <c r="AW7" s="0" t="n">
        <f aca="false">((IF(t_rod=1,(p_tp-c_tf)/2,0))-dxc)/dSl</f>
        <v>-0.304633637966971</v>
      </c>
      <c r="AX7" s="0" t="n">
        <f aca="false">(-(IF(cfg_d="Extendida — 1+1 (4E)",b_dp/2+p_pfo,b_dp/2-b_tfp-p_pfi)))/dSl</f>
        <v>-0.310973691483847</v>
      </c>
    </row>
    <row r="8" customFormat="false" ht="15" hidden="false" customHeight="false" outlineLevel="0" collapsed="false">
      <c r="A8" s="0" t="s">
        <v>445</v>
      </c>
      <c r="B8" s="0" t="n">
        <f aca="false">(dYt+dYb)/2</f>
        <v>4.5</v>
      </c>
      <c r="D8" s="0" t="n">
        <f aca="false">(-p_bp/2)/dSf</f>
        <v>-0.264831755308244</v>
      </c>
      <c r="E8" s="0" t="n">
        <f aca="false">((dYb)-dYc)/dSf</f>
        <v>-0.925925925925926</v>
      </c>
      <c r="G8" s="0" t="n">
        <f aca="false">(b_tw/2)/dSf</f>
        <v>0.00794495265924733</v>
      </c>
      <c r="H8" s="0" t="n">
        <f aca="false">((-b_dp/2+b_tfp)-dYc)/dSf</f>
        <v>-0.893655860484437</v>
      </c>
      <c r="J8" s="0" t="n">
        <f aca="false">(-p_g/2)/dSf</f>
        <v>-0.145657465419534</v>
      </c>
      <c r="K8" s="0" t="n">
        <f aca="false">(((IF(cfg_u="Al ras — 2 filas (4 pernos)",b_dp/2-b_tfp-p_pfi-p_pb,b_dp/2-b_tfp-p_pfi)))-dYc)/dSf</f>
        <v>0.522891403052895</v>
      </c>
      <c r="M8" s="0" t="n">
        <f aca="false">(-p_g/2)/dSf</f>
        <v>-0.145657465419534</v>
      </c>
      <c r="N8" s="0" t="n">
        <f aca="false">((-(IF(cfg_d="Al ras — 2 filas (4 pernos)",b_dp/2-b_tfp-p_pfi-p_pb,b_dp/2-b_tfp-p_pfi)))-dYc)/dSf</f>
        <v>-0.761239982830315</v>
      </c>
      <c r="P8" s="0" t="n">
        <f aca="false">((-c_d*t_rod)-dxc)/dSl</f>
        <v>-0.952380952380952</v>
      </c>
      <c r="Q8" s="0" t="n">
        <f aca="false">(dYb-10)/dSl</f>
        <v>-0.519003345923647</v>
      </c>
      <c r="Y8" s="0" t="n">
        <f aca="false">((0)-dxc)/dSl</f>
        <v>-0.311046977713644</v>
      </c>
      <c r="Z8" s="0" t="n">
        <f aca="false">(dYb)/dSl</f>
        <v>-0.390736550990186</v>
      </c>
      <c r="AB8" s="0" t="n">
        <f aca="false">((-p_tp*(1-t_rod))-dxc)/dSl</f>
        <v>-0.311046977713644</v>
      </c>
      <c r="AC8" s="0" t="n">
        <f aca="false">(dYb*(1-t_rod))/dSl</f>
        <v>-0</v>
      </c>
      <c r="AW8" s="0" t="n">
        <f aca="false">((IF(t_rod=1,(p_tp-c_tf)/2,0))-dxc)/dSl</f>
        <v>-0.304633637966971</v>
      </c>
      <c r="AX8" s="0" t="n">
        <f aca="false">(-(b_dp/2-b_tfp-p_pfi))/dSl</f>
        <v>-0.310973691483847</v>
      </c>
    </row>
    <row r="9" customFormat="false" ht="15" hidden="false" customHeight="false" outlineLevel="0" collapsed="false">
      <c r="A9" s="0" t="s">
        <v>446</v>
      </c>
      <c r="B9" s="0" t="n">
        <f aca="false">MAX(1.6*b_d,vg_Lh/10*0.6)</f>
        <v>96</v>
      </c>
      <c r="G9" s="0" t="n">
        <f aca="false">(b_bf/2)/dSf</f>
        <v>0.23834857977742</v>
      </c>
      <c r="H9" s="0" t="n">
        <f aca="false">((-b_dp/2+b_tfp)-dYc)/dSf</f>
        <v>-0.893655860484437</v>
      </c>
      <c r="J9" s="0" t="n">
        <f aca="false">(p_g/2)/dSf</f>
        <v>0.145657465419534</v>
      </c>
      <c r="K9" s="0" t="n">
        <f aca="false">(((IF(cfg_u="Al ras — 2 filas (4 pernos)",b_dp/2-b_tfp-p_pfi-p_pb,b_dp/2-b_tfp-p_pfi)))-dYc)/dSf</f>
        <v>0.522891403052895</v>
      </c>
      <c r="M9" s="0" t="n">
        <f aca="false">(p_g/2)/dSf</f>
        <v>0.145657465419534</v>
      </c>
      <c r="N9" s="0" t="n">
        <f aca="false">((-(IF(cfg_d="Al ras — 2 filas (4 pernos)",b_dp/2-b_tfp-p_pfi-p_pb,b_dp/2-b_tfp-p_pfi)))-dYc)/dSf</f>
        <v>-0.761239982830315</v>
      </c>
      <c r="AW9" s="0" t="n">
        <f aca="false">((IF(t_rod=1,(p_tp-c_tf)/2,0))-dxc)/dSl</f>
        <v>-0.304633637966971</v>
      </c>
      <c r="AX9" s="0" t="n">
        <f aca="false">(-(IF(cfg_d="Al ras — 2 filas (4 pernos)",b_dp/2-b_tfp-p_pfi-p_pb,b_dp/2-b_tfp-p_pfi)))/dSl</f>
        <v>-0.310973691483847</v>
      </c>
    </row>
    <row r="10" customFormat="false" ht="15" hidden="false" customHeight="false" outlineLevel="0" collapsed="false">
      <c r="A10" s="0" t="s">
        <v>447</v>
      </c>
      <c r="B10" s="0" t="n">
        <f aca="false">TAN(RADIANS(theta))</f>
        <v>0.176326980708465</v>
      </c>
      <c r="G10" s="0" t="n">
        <f aca="false">(b_bf/2)/dSf</f>
        <v>0.23834857977742</v>
      </c>
      <c r="H10" s="0" t="n">
        <f aca="false">((-b_dp/2)-dYc)/dSf</f>
        <v>-0.925925925925926</v>
      </c>
    </row>
    <row r="11" customFormat="false" ht="15" hidden="false" customHeight="false" outlineLevel="0" collapsed="false">
      <c r="A11" s="0" t="s">
        <v>448</v>
      </c>
      <c r="B11" s="0" t="n">
        <f aca="false">IF(t_rod=1,-c_d,-p_tp-dLr)</f>
        <v>-50</v>
      </c>
      <c r="G11" s="0" t="n">
        <f aca="false">(-b_bf/2)/dSf</f>
        <v>-0.23834857977742</v>
      </c>
      <c r="H11" s="0" t="n">
        <f aca="false">((-b_dp/2)-dYc)/dSf</f>
        <v>-0.925925925925926</v>
      </c>
    </row>
    <row r="12" customFormat="false" ht="15" hidden="false" customHeight="false" outlineLevel="0" collapsed="false">
      <c r="A12" s="0" t="s">
        <v>449</v>
      </c>
      <c r="B12" s="0" t="n">
        <f aca="false">p_tp+dLr</f>
        <v>98.5</v>
      </c>
      <c r="G12" s="0" t="n">
        <f aca="false">(-b_bf/2)/dSf</f>
        <v>-0.23834857977742</v>
      </c>
      <c r="H12" s="0" t="n">
        <f aca="false">((-b_dp/2+b_tfp)-dYc)/dSf</f>
        <v>-0.893655860484437</v>
      </c>
    </row>
    <row r="13" customFormat="false" ht="15" hidden="false" customHeight="false" outlineLevel="0" collapsed="false">
      <c r="A13" s="0" t="s">
        <v>450</v>
      </c>
      <c r="B13" s="0" t="n">
        <f aca="false">IF(t_rod=1,1,-1)</f>
        <v>1</v>
      </c>
      <c r="G13" s="0" t="n">
        <f aca="false">(-b_tw/2)/dSf</f>
        <v>-0.00794495265924733</v>
      </c>
      <c r="H13" s="0" t="n">
        <f aca="false">((-b_dp/2+b_tfp)-dYc)/dSf</f>
        <v>-0.893655860484437</v>
      </c>
    </row>
    <row r="14" customFormat="false" ht="15" hidden="false" customHeight="false" outlineLevel="0" collapsed="false">
      <c r="A14" s="0" t="s">
        <v>451</v>
      </c>
      <c r="B14" s="0" t="n">
        <f aca="false">MAX(ABS(dYt),ABS(dYb))+dLr*dT</f>
        <v>56.390188504585</v>
      </c>
      <c r="G14" s="0" t="n">
        <f aca="false">(-b_tw/2)/dSf</f>
        <v>-0.00794495265924733</v>
      </c>
      <c r="H14" s="0" t="n">
        <f aca="false">((b_dp/2-b_tfp)-dYc)/dSf</f>
        <v>0.655307280707017</v>
      </c>
    </row>
    <row r="15" customFormat="false" ht="15" hidden="false" customHeight="false" outlineLevel="0" collapsed="false">
      <c r="A15" s="0" t="s">
        <v>452</v>
      </c>
      <c r="B15" s="0" t="n">
        <f aca="false">MAX(dx1-dx0,2*dym)/2*1.05</f>
        <v>77.9625</v>
      </c>
      <c r="G15" s="0" t="n">
        <f aca="false">(-b_bf/2)/dSf</f>
        <v>-0.23834857977742</v>
      </c>
      <c r="H15" s="0" t="n">
        <f aca="false">((b_dp/2-b_tfp)-dYc)/dSf</f>
        <v>0.655307280707017</v>
      </c>
    </row>
    <row r="16" customFormat="false" ht="15" hidden="false" customHeight="false" outlineLevel="0" collapsed="false">
      <c r="A16" s="0" t="s">
        <v>453</v>
      </c>
      <c r="B16" s="0" t="n">
        <f aca="false">(dx0+dx1)/2</f>
        <v>24.25</v>
      </c>
      <c r="G16" s="0" t="n">
        <f aca="false">(-b_bf/2)/dSf</f>
        <v>-0.23834857977742</v>
      </c>
      <c r="H16" s="0" t="n">
        <f aca="false">((b_dp/2)-dYc)/dSf</f>
        <v>0.687577346148506</v>
      </c>
    </row>
    <row r="17" customFormat="false" ht="15" hidden="false" customHeight="false" outlineLevel="0" collapsed="false">
      <c r="A17" s="0" t="s">
        <v>454</v>
      </c>
      <c r="B17" s="0" t="n">
        <f aca="false">vg_d_mm/10</f>
        <v>40</v>
      </c>
    </row>
    <row r="18" customFormat="false" ht="15" hidden="false" customHeight="false" outlineLevel="0" collapsed="false">
      <c r="A18" s="0" t="s">
        <v>455</v>
      </c>
      <c r="B18" s="0" t="n">
        <f aca="false">IF(vg_dh&gt;0,MIN(vg_Lh/10,dLr),0.001)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2026-09-26T05:11:15Z</dcterms:created>
  <dc:creator>openpyxl</dc:creator>
  <dc:description/>
  <dc:language>en-US</dc:language>
  <cp:lastModifiedBy/>
  <dcterms:modified xsi:type="dcterms:W3CDTF">2026-09-26T05:11:16Z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